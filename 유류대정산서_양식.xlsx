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hk12\Desktop\과제\06. 유류대 정산\opinet-proxy\"/>
    </mc:Choice>
  </mc:AlternateContent>
  <bookViews>
    <workbookView xWindow="0" yWindow="0" windowWidth="38400" windowHeight="16800"/>
  </bookViews>
  <sheets>
    <sheet name="유류대정산서" sheetId="1" r:id="rId1"/>
    <sheet name="유류대정산서(중소환경사업화)" sheetId="2" r:id="rId2"/>
  </sheets>
  <definedNames>
    <definedName name="_xlnm.Print_Area" localSheetId="0">유류대정산서!$A$1:$I$35</definedName>
    <definedName name="_xlnm.Print_Area" localSheetId="1">'유류대정산서(중소환경사업화)'!$A$1:$I$28</definedName>
    <definedName name="가스">'유류대정산서(중소환경사업화)'!$N$7:$N$8</definedName>
    <definedName name="구분">'유류대정산서(중소환경사업화)'!$M$4:$M$6</definedName>
    <definedName name="기름">'유류대정산서(중소환경사업화)'!$N$4:$N$6</definedName>
    <definedName name="전기">'유류대정산서(중소환경사업화)'!$N$9:$N$11</definedName>
    <definedName name="하이브리드Oil">'유류대정산서(중소환경사업화)'!$O$4:$O$5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I5" i="2"/>
  <c r="H20" i="2"/>
  <c r="F24" i="2" s="1"/>
  <c r="E24" i="2"/>
  <c r="G24" i="2" s="1"/>
  <c r="H24" i="2" l="1"/>
  <c r="I24" i="2" s="1"/>
  <c r="G25" i="2" s="1"/>
  <c r="H27" i="1" l="1"/>
</calcChain>
</file>

<file path=xl/sharedStrings.xml><?xml version="1.0" encoding="utf-8"?>
<sst xmlns="http://schemas.openxmlformats.org/spreadsheetml/2006/main" count="87" uniqueCount="85">
  <si>
    <t>차 량 운 행 일 지 (시외) : 당일 외근 및 출장시</t>
    <phoneticPr fontId="3" type="noConversion"/>
  </si>
  <si>
    <t>작성일자:</t>
    <phoneticPr fontId="3" type="noConversion"/>
  </si>
  <si>
    <t>성     명:</t>
    <phoneticPr fontId="3" type="noConversion"/>
  </si>
  <si>
    <t>차량번호:</t>
    <phoneticPr fontId="3" type="noConversion"/>
  </si>
  <si>
    <t>No.</t>
    <phoneticPr fontId="3" type="noConversion"/>
  </si>
  <si>
    <t>운행일</t>
    <phoneticPr fontId="3" type="noConversion"/>
  </si>
  <si>
    <t>출장장소</t>
    <phoneticPr fontId="3" type="noConversion"/>
  </si>
  <si>
    <t>출장목적</t>
    <phoneticPr fontId="3" type="noConversion"/>
  </si>
  <si>
    <t>운행거리
(km)</t>
    <phoneticPr fontId="3" type="noConversion"/>
  </si>
  <si>
    <t>비     고
(동행자 기입)</t>
    <phoneticPr fontId="3" type="noConversion"/>
  </si>
  <si>
    <t>출발지</t>
    <phoneticPr fontId="3" type="noConversion"/>
  </si>
  <si>
    <t>도착지</t>
    <phoneticPr fontId="3" type="noConversion"/>
  </si>
  <si>
    <t>총 주행거리</t>
    <phoneticPr fontId="3" type="noConversion"/>
  </si>
  <si>
    <t>(km)</t>
    <phoneticPr fontId="3" type="noConversion"/>
  </si>
  <si>
    <t>* 각각에 대한 수식이 걸려 있더라도 꼭 정산금액에 대해 확인해주십시오</t>
    <phoneticPr fontId="3" type="noConversion"/>
  </si>
  <si>
    <t>운행거리</t>
    <phoneticPr fontId="3" type="noConversion"/>
  </si>
  <si>
    <t>감가율</t>
    <phoneticPr fontId="3" type="noConversion"/>
  </si>
  <si>
    <t>합계</t>
    <phoneticPr fontId="3" type="noConversion"/>
  </si>
  <si>
    <t xml:space="preserve"> </t>
    <phoneticPr fontId="3" type="noConversion"/>
  </si>
  <si>
    <t>리터당</t>
    <phoneticPr fontId="3" type="noConversion"/>
  </si>
  <si>
    <t>기준가격</t>
    <phoneticPr fontId="3" type="noConversion"/>
  </si>
  <si>
    <t>리터당 KM</t>
    <phoneticPr fontId="3" type="noConversion"/>
  </si>
  <si>
    <t>자동차유종</t>
    <phoneticPr fontId="3" type="noConversion"/>
  </si>
  <si>
    <t>청구금액</t>
    <phoneticPr fontId="2" type="noConversion"/>
  </si>
  <si>
    <t>* 노란색 셀과 본문만 입력</t>
    <phoneticPr fontId="2" type="noConversion"/>
  </si>
  <si>
    <t>휘발유</t>
    <phoneticPr fontId="3" type="noConversion"/>
  </si>
  <si>
    <t>경유</t>
    <phoneticPr fontId="3" type="noConversion"/>
  </si>
  <si>
    <t>LPG</t>
    <phoneticPr fontId="2" type="noConversion"/>
  </si>
  <si>
    <t>리터당KM</t>
    <phoneticPr fontId="3" type="noConversion"/>
  </si>
  <si>
    <t>정산내역</t>
    <phoneticPr fontId="2" type="noConversion"/>
  </si>
  <si>
    <r>
      <t xml:space="preserve">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 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/10 </t>
    </r>
    <r>
      <rPr>
        <sz val="14"/>
        <color indexed="8"/>
        <rFont val="맑은 고딕"/>
        <family val="3"/>
        <charset val="129"/>
        <scheme val="minor"/>
      </rPr>
      <t xml:space="preserve">(휘발유,경유: L당 이동거리) 
= </t>
    </r>
    <r>
      <rPr>
        <b/>
        <sz val="14"/>
        <color indexed="8"/>
        <rFont val="맑은 고딕"/>
        <family val="3"/>
        <charset val="129"/>
        <scheme val="minor"/>
      </rPr>
      <t>주행거리</t>
    </r>
    <r>
      <rPr>
        <sz val="14"/>
        <color indexed="8"/>
        <rFont val="맑은 고딕"/>
        <family val="3"/>
        <charset val="129"/>
        <scheme val="minor"/>
      </rPr>
      <t xml:space="preserve"> (km)</t>
    </r>
    <r>
      <rPr>
        <b/>
        <sz val="14"/>
        <color indexed="8"/>
        <rFont val="맑은 고딕"/>
        <family val="3"/>
        <charset val="129"/>
        <scheme val="minor"/>
      </rPr>
      <t xml:space="preserve"> * 1.2 </t>
    </r>
    <r>
      <rPr>
        <sz val="14"/>
        <color indexed="8"/>
        <rFont val="맑은 고딕"/>
        <family val="3"/>
        <charset val="129"/>
        <scheme val="minor"/>
      </rPr>
      <t xml:space="preserve">(차량감가상각률) * 유가 (오피넷기준,매주월요일) </t>
    </r>
    <r>
      <rPr>
        <b/>
        <sz val="14"/>
        <color indexed="8"/>
        <rFont val="맑은 고딕"/>
        <family val="3"/>
        <charset val="129"/>
        <scheme val="minor"/>
      </rPr>
      <t xml:space="preserve">/ 7 </t>
    </r>
    <r>
      <rPr>
        <sz val="14"/>
        <color indexed="8"/>
        <rFont val="맑은 고딕"/>
        <family val="3"/>
        <charset val="129"/>
        <scheme val="minor"/>
      </rPr>
      <t xml:space="preserve">(LPG: L당 이동거리) </t>
    </r>
    <r>
      <rPr>
        <b/>
        <sz val="14"/>
        <color indexed="8"/>
        <rFont val="맑은 고딕"/>
        <family val="3"/>
        <charset val="129"/>
        <scheme val="minor"/>
      </rPr>
      <t/>
    </r>
    <phoneticPr fontId="3" type="noConversion"/>
  </si>
  <si>
    <t xml:space="preserve"> </t>
    <phoneticPr fontId="3" type="noConversion"/>
  </si>
  <si>
    <t>청구금액</t>
    <phoneticPr fontId="2" type="noConversion"/>
  </si>
  <si>
    <r>
      <t>= 여행</t>
    </r>
    <r>
      <rPr>
        <b/>
        <sz val="9"/>
        <color indexed="8"/>
        <rFont val="맑은 고딕"/>
        <family val="3"/>
        <charset val="129"/>
        <scheme val="minor"/>
      </rPr>
      <t>거리</t>
    </r>
    <r>
      <rPr>
        <sz val="9"/>
        <color indexed="8"/>
        <rFont val="맑은 고딕"/>
        <family val="3"/>
        <charset val="129"/>
        <scheme val="minor"/>
      </rPr>
      <t>(km)</t>
    </r>
    <r>
      <rPr>
        <b/>
        <sz val="9"/>
        <color indexed="8"/>
        <rFont val="맑은 고딕"/>
        <family val="3"/>
        <charset val="129"/>
        <scheme val="minor"/>
      </rPr>
      <t xml:space="preserve"> * 유가 / 연비</t>
    </r>
    <phoneticPr fontId="3" type="noConversion"/>
  </si>
  <si>
    <t>합계</t>
    <phoneticPr fontId="3" type="noConversion"/>
  </si>
  <si>
    <t>연비</t>
    <phoneticPr fontId="3" type="noConversion"/>
  </si>
  <si>
    <t>유가</t>
    <phoneticPr fontId="3" type="noConversion"/>
  </si>
  <si>
    <t>여행거리</t>
    <phoneticPr fontId="3" type="noConversion"/>
  </si>
  <si>
    <t>구분</t>
    <phoneticPr fontId="3" type="noConversion"/>
  </si>
  <si>
    <t>정산내역</t>
    <phoneticPr fontId="2" type="noConversion"/>
  </si>
  <si>
    <t>* 각각에 대한 수식이 걸려 있더라도 꼭 정산금액에 대해 확인해주십시오</t>
    <phoneticPr fontId="3" type="noConversion"/>
  </si>
  <si>
    <t>(km)</t>
    <phoneticPr fontId="3" type="noConversion"/>
  </si>
  <si>
    <t>총 주행거리</t>
    <phoneticPr fontId="3" type="noConversion"/>
  </si>
  <si>
    <t>무료도로기준
왕복</t>
    <phoneticPr fontId="2" type="noConversion"/>
  </si>
  <si>
    <t>스마트누수탐지기 개발 관련 자문</t>
    <phoneticPr fontId="2" type="noConversion"/>
  </si>
  <si>
    <t>김천구미역</t>
    <phoneticPr fontId="2" type="noConversion"/>
  </si>
  <si>
    <t xml:space="preserve">유솔(대구본사) </t>
    <phoneticPr fontId="2" type="noConversion"/>
  </si>
  <si>
    <t>24.7.2</t>
    <phoneticPr fontId="2" type="noConversion"/>
  </si>
  <si>
    <t>하이브리드Elec</t>
    <phoneticPr fontId="2" type="noConversion"/>
  </si>
  <si>
    <t>도착지</t>
    <phoneticPr fontId="3" type="noConversion"/>
  </si>
  <si>
    <t>출발지</t>
    <phoneticPr fontId="3" type="noConversion"/>
  </si>
  <si>
    <t>전기(충전타입 100kW 이하)</t>
    <phoneticPr fontId="2" type="noConversion"/>
  </si>
  <si>
    <t>비     고
(동행자 기입)</t>
    <phoneticPr fontId="3" type="noConversion"/>
  </si>
  <si>
    <t>여행거리
(km)</t>
    <phoneticPr fontId="3" type="noConversion"/>
  </si>
  <si>
    <t>출장목적</t>
    <phoneticPr fontId="3" type="noConversion"/>
  </si>
  <si>
    <t>출장장소</t>
    <phoneticPr fontId="3" type="noConversion"/>
  </si>
  <si>
    <t>운행일</t>
    <phoneticPr fontId="3" type="noConversion"/>
  </si>
  <si>
    <t>No.</t>
    <phoneticPr fontId="3" type="noConversion"/>
  </si>
  <si>
    <t>전기(충전타입 50kW 이하)</t>
    <phoneticPr fontId="2" type="noConversion"/>
  </si>
  <si>
    <t>* 노란색 셀과 본문만 입력</t>
    <phoneticPr fontId="2" type="noConversion"/>
  </si>
  <si>
    <t>-</t>
    <phoneticPr fontId="2" type="noConversion"/>
  </si>
  <si>
    <t>수소</t>
    <phoneticPr fontId="2" type="noConversion"/>
  </si>
  <si>
    <t>LPG</t>
    <phoneticPr fontId="2" type="noConversion"/>
  </si>
  <si>
    <t>하이브리드Oil</t>
    <phoneticPr fontId="2" type="noConversion"/>
  </si>
  <si>
    <t>전기</t>
    <phoneticPr fontId="3" type="noConversion"/>
  </si>
  <si>
    <r>
      <t xml:space="preserve">※ </t>
    </r>
    <r>
      <rPr>
        <b/>
        <sz val="9"/>
        <color rgb="FFFF0000"/>
        <rFont val="맑은 고딕"/>
        <family val="3"/>
        <charset val="129"/>
        <scheme val="minor"/>
      </rPr>
      <t>수소차</t>
    </r>
    <r>
      <rPr>
        <b/>
        <sz val="9"/>
        <color theme="1"/>
        <rFont val="맑은 고딕"/>
        <family val="3"/>
        <charset val="129"/>
        <scheme val="minor"/>
      </rPr>
      <t xml:space="preserve">의 경우 </t>
    </r>
    <r>
      <rPr>
        <b/>
        <sz val="9"/>
        <color rgb="FFFF0000"/>
        <rFont val="맑은 고딕"/>
        <family val="3"/>
        <charset val="129"/>
        <scheme val="minor"/>
      </rPr>
      <t>유가</t>
    </r>
    <r>
      <rPr>
        <b/>
        <sz val="9"/>
        <color theme="1"/>
        <rFont val="맑은 고딕"/>
        <family val="3"/>
        <charset val="129"/>
        <scheme val="minor"/>
      </rPr>
      <t xml:space="preserve"> 실비단가 작성</t>
    </r>
    <phoneticPr fontId="3" type="noConversion"/>
  </si>
  <si>
    <t>※ 대분류 및 중분류만 선택</t>
    <phoneticPr fontId="3" type="noConversion"/>
  </si>
  <si>
    <t>개인차량 369부9983</t>
    <phoneticPr fontId="2" type="noConversion"/>
  </si>
  <si>
    <t>차량번호:</t>
    <phoneticPr fontId="3" type="noConversion"/>
  </si>
  <si>
    <t>경유</t>
    <phoneticPr fontId="2" type="noConversion"/>
  </si>
  <si>
    <t>가스</t>
    <phoneticPr fontId="3" type="noConversion"/>
  </si>
  <si>
    <t>LPG</t>
  </si>
  <si>
    <t>가스</t>
  </si>
  <si>
    <t>최정규</t>
    <phoneticPr fontId="2" type="noConversion"/>
  </si>
  <si>
    <t>성     명:</t>
    <phoneticPr fontId="3" type="noConversion"/>
  </si>
  <si>
    <t>휘발유</t>
    <phoneticPr fontId="2" type="noConversion"/>
  </si>
  <si>
    <t>기름</t>
    <phoneticPr fontId="3" type="noConversion"/>
  </si>
  <si>
    <t>유가</t>
    <phoneticPr fontId="2" type="noConversion"/>
  </si>
  <si>
    <t>중분류</t>
    <phoneticPr fontId="3" type="noConversion"/>
  </si>
  <si>
    <t>대분류</t>
    <phoneticPr fontId="3" type="noConversion"/>
  </si>
  <si>
    <t>작성일자:</t>
    <phoneticPr fontId="3" type="noConversion"/>
  </si>
  <si>
    <t>연비</t>
    <phoneticPr fontId="2" type="noConversion"/>
  </si>
  <si>
    <t>24.7.1~24.9.30</t>
    <phoneticPr fontId="2" type="noConversion"/>
  </si>
  <si>
    <t>연 료 비 산 정 서 : 국내 외근 및 출장시</t>
    <phoneticPr fontId="3" type="noConversion"/>
  </si>
  <si>
    <t>(오피넷 유가 출장일 기준)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</si>
</sst>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  <numFmt numFmtId="177" formatCode="mm&quot;월&quot;\ dd&quot;일&quot;"/>
    <numFmt numFmtId="178" formatCode="#,###&quot;원&quot;"/>
    <numFmt numFmtId="179" formatCode="#,##0.0_ "/>
    <numFmt numFmtId="180" formatCode="#,##0.00_ "/>
    <numFmt numFmtId="181" formatCode="_-* #,##0.00_-;\-* #,##0.00_-;_-* &quot;-&quot;_-;_-@_-"/>
  </numFmts>
  <fonts count="43" x14ac:knownFonts="1"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1"/>
      <name val="돋움"/>
      <family val="3"/>
      <charset val="129"/>
    </font>
    <font>
      <u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34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u/>
      <sz val="20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u/>
      <sz val="30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indexed="8"/>
      <name val="맑은 고딕"/>
      <family val="3"/>
      <charset val="129"/>
      <scheme val="minor"/>
    </font>
    <font>
      <sz val="14"/>
      <color indexed="8"/>
      <name val="맑은 고딕"/>
      <family val="3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b/>
      <sz val="36"/>
      <name val="맑은 고딕"/>
      <family val="3"/>
      <charset val="129"/>
      <scheme val="minor"/>
    </font>
    <font>
      <sz val="15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u/>
      <sz val="12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sz val="9"/>
      <color indexed="8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5"/>
      <color theme="1"/>
      <name val="맑은 고딕"/>
      <family val="3"/>
      <charset val="129"/>
      <scheme val="minor"/>
    </font>
    <font>
      <b/>
      <sz val="15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u/>
      <sz val="12"/>
      <color theme="1"/>
      <name val="맑은 고딕"/>
      <family val="3"/>
      <charset val="129"/>
      <scheme val="minor"/>
    </font>
    <font>
      <u/>
      <sz val="12"/>
      <color theme="1"/>
      <name val="맑은 고딕"/>
      <family val="3"/>
      <charset val="129"/>
      <scheme val="minor"/>
    </font>
    <font>
      <b/>
      <sz val="24"/>
      <name val="맑은 고딕"/>
      <family val="3"/>
      <charset val="129"/>
      <scheme val="minor"/>
    </font>
    <font>
      <sz val="2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41" fontId="4" fillId="0" borderId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/>
    <xf numFmtId="41" fontId="1" fillId="0" borderId="0" applyNumberFormat="0" applyFont="0" applyFill="0" applyBorder="0" applyAlignment="0" applyProtection="0"/>
  </cellStyleXfs>
  <cellXfs count="205">
    <xf numFmtId="0" fontId="0" fillId="0" borderId="0" xfId="0">
      <alignment vertical="center"/>
    </xf>
    <xf numFmtId="0" fontId="6" fillId="0" borderId="20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/>
    </xf>
    <xf numFmtId="176" fontId="6" fillId="0" borderId="21" xfId="2" applyNumberFormat="1" applyFont="1" applyFill="1" applyBorder="1" applyAlignment="1">
      <alignment horizontal="center" vertical="center"/>
    </xf>
    <xf numFmtId="176" fontId="8" fillId="0" borderId="0" xfId="2" applyNumberFormat="1" applyFont="1" applyFill="1" applyBorder="1" applyAlignment="1">
      <alignment horizontal="left" vertical="center"/>
    </xf>
    <xf numFmtId="176" fontId="9" fillId="0" borderId="0" xfId="2" applyNumberFormat="1" applyFont="1" applyFill="1" applyBorder="1" applyAlignment="1">
      <alignment horizontal="center" vertical="center"/>
    </xf>
    <xf numFmtId="176" fontId="11" fillId="0" borderId="0" xfId="2" applyNumberFormat="1" applyFont="1" applyFill="1" applyBorder="1" applyAlignment="1">
      <alignment horizontal="left"/>
    </xf>
    <xf numFmtId="176" fontId="5" fillId="0" borderId="0" xfId="2" applyNumberFormat="1" applyFont="1" applyFill="1" applyBorder="1" applyAlignment="1">
      <alignment horizontal="center"/>
    </xf>
    <xf numFmtId="176" fontId="13" fillId="0" borderId="0" xfId="2" applyNumberFormat="1" applyFont="1" applyFill="1" applyBorder="1" applyAlignment="1">
      <alignment horizontal="left" vertical="center"/>
    </xf>
    <xf numFmtId="176" fontId="12" fillId="2" borderId="2" xfId="2" quotePrefix="1" applyNumberFormat="1" applyFont="1" applyFill="1" applyBorder="1" applyAlignment="1">
      <alignment horizontal="center" vertical="center"/>
    </xf>
    <xf numFmtId="176" fontId="14" fillId="0" borderId="3" xfId="3" applyNumberFormat="1" applyFont="1" applyFill="1" applyBorder="1" applyAlignment="1">
      <alignment horizontal="center" vertical="center"/>
    </xf>
    <xf numFmtId="176" fontId="15" fillId="0" borderId="0" xfId="2" applyNumberFormat="1" applyFont="1" applyFill="1" applyBorder="1" applyAlignment="1">
      <alignment horizontal="left" vertical="center"/>
    </xf>
    <xf numFmtId="176" fontId="12" fillId="0" borderId="0" xfId="2" quotePrefix="1" applyNumberFormat="1" applyFont="1" applyFill="1" applyBorder="1" applyAlignment="1">
      <alignment horizontal="center" vertical="center"/>
    </xf>
    <xf numFmtId="176" fontId="12" fillId="2" borderId="4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horizontal="center" vertical="center"/>
    </xf>
    <xf numFmtId="0" fontId="13" fillId="0" borderId="0" xfId="2" applyNumberFormat="1" applyFont="1" applyFill="1" applyBorder="1" applyAlignment="1">
      <alignment horizontal="left" vertical="center"/>
    </xf>
    <xf numFmtId="176" fontId="16" fillId="0" borderId="0" xfId="2" applyNumberFormat="1" applyFont="1" applyFill="1" applyBorder="1" applyAlignment="1">
      <alignment horizontal="left" vertical="center"/>
    </xf>
    <xf numFmtId="180" fontId="17" fillId="0" borderId="7" xfId="2" applyNumberFormat="1" applyFont="1" applyFill="1" applyBorder="1" applyAlignment="1">
      <alignment horizontal="center" vertical="center"/>
    </xf>
    <xf numFmtId="176" fontId="6" fillId="0" borderId="19" xfId="2" applyNumberFormat="1" applyFont="1" applyFill="1" applyBorder="1" applyAlignment="1">
      <alignment horizontal="center" vertical="center"/>
    </xf>
    <xf numFmtId="176" fontId="6" fillId="0" borderId="24" xfId="2" applyNumberFormat="1" applyFont="1" applyFill="1" applyBorder="1" applyAlignment="1">
      <alignment horizontal="center" vertical="center"/>
    </xf>
    <xf numFmtId="176" fontId="6" fillId="0" borderId="25" xfId="2" applyNumberFormat="1" applyFont="1" applyFill="1" applyBorder="1" applyAlignment="1">
      <alignment horizontal="center" vertical="center"/>
    </xf>
    <xf numFmtId="176" fontId="16" fillId="0" borderId="1" xfId="2" applyNumberFormat="1" applyFont="1" applyFill="1" applyBorder="1" applyAlignment="1">
      <alignment horizontal="left" vertical="center"/>
    </xf>
    <xf numFmtId="176" fontId="16" fillId="0" borderId="17" xfId="2" applyNumberFormat="1" applyFont="1" applyFill="1" applyBorder="1" applyAlignment="1">
      <alignment horizontal="center" vertical="center"/>
    </xf>
    <xf numFmtId="176" fontId="16" fillId="0" borderId="17" xfId="2" applyNumberFormat="1" applyFont="1" applyFill="1" applyBorder="1" applyAlignment="1">
      <alignment horizontal="center" vertical="center" wrapText="1"/>
    </xf>
    <xf numFmtId="176" fontId="19" fillId="0" borderId="0" xfId="3" applyNumberFormat="1" applyFont="1" applyFill="1" applyBorder="1" applyAlignment="1">
      <alignment horizontal="right" vertical="center"/>
    </xf>
    <xf numFmtId="176" fontId="20" fillId="0" borderId="0" xfId="2" applyNumberFormat="1" applyFont="1" applyFill="1" applyBorder="1" applyAlignment="1">
      <alignment horizontal="center" vertical="center"/>
    </xf>
    <xf numFmtId="0" fontId="20" fillId="0" borderId="0" xfId="2" applyNumberFormat="1" applyFont="1" applyFill="1" applyBorder="1" applyAlignment="1">
      <alignment horizontal="left" vertical="center"/>
    </xf>
    <xf numFmtId="176" fontId="20" fillId="0" borderId="0" xfId="2" applyNumberFormat="1" applyFont="1" applyFill="1" applyBorder="1" applyAlignment="1">
      <alignment horizontal="left" vertical="center"/>
    </xf>
    <xf numFmtId="176" fontId="15" fillId="0" borderId="0" xfId="2" applyNumberFormat="1" applyFont="1" applyFill="1" applyBorder="1" applyAlignment="1">
      <alignment horizontal="center" vertical="center"/>
    </xf>
    <xf numFmtId="0" fontId="15" fillId="0" borderId="0" xfId="2" applyNumberFormat="1" applyFont="1" applyFill="1" applyBorder="1" applyAlignment="1">
      <alignment horizontal="left" vertical="center"/>
    </xf>
    <xf numFmtId="176" fontId="12" fillId="2" borderId="30" xfId="2" applyNumberFormat="1" applyFont="1" applyFill="1" applyBorder="1" applyAlignment="1">
      <alignment horizontal="center" vertical="center" wrapText="1"/>
    </xf>
    <xf numFmtId="176" fontId="12" fillId="2" borderId="1" xfId="2" applyNumberFormat="1" applyFont="1" applyFill="1" applyBorder="1" applyAlignment="1">
      <alignment horizontal="center" vertical="center" wrapText="1"/>
    </xf>
    <xf numFmtId="176" fontId="12" fillId="0" borderId="0" xfId="2" applyNumberFormat="1" applyFont="1" applyFill="1" applyBorder="1" applyAlignment="1">
      <alignment horizontal="left" vertical="center"/>
    </xf>
    <xf numFmtId="176" fontId="6" fillId="0" borderId="31" xfId="2" applyNumberFormat="1" applyFont="1" applyFill="1" applyBorder="1" applyAlignment="1">
      <alignment horizontal="center" vertical="center"/>
    </xf>
    <xf numFmtId="176" fontId="16" fillId="0" borderId="0" xfId="2" applyNumberFormat="1" applyFont="1" applyFill="1" applyBorder="1" applyAlignment="1">
      <alignment vertical="top"/>
    </xf>
    <xf numFmtId="176" fontId="12" fillId="2" borderId="6" xfId="2" quotePrefix="1" applyNumberFormat="1" applyFont="1" applyFill="1" applyBorder="1" applyAlignment="1">
      <alignment horizontal="center" vertical="center"/>
    </xf>
    <xf numFmtId="176" fontId="12" fillId="0" borderId="0" xfId="2" applyNumberFormat="1" applyFont="1" applyFill="1" applyBorder="1" applyAlignment="1">
      <alignment vertical="center" wrapText="1"/>
    </xf>
    <xf numFmtId="176" fontId="12" fillId="0" borderId="0" xfId="2" quotePrefix="1" applyNumberFormat="1" applyFont="1" applyFill="1" applyBorder="1" applyAlignment="1">
      <alignment vertical="center"/>
    </xf>
    <xf numFmtId="176" fontId="16" fillId="0" borderId="16" xfId="2" applyNumberFormat="1" applyFont="1" applyFill="1" applyBorder="1" applyAlignment="1">
      <alignment horizontal="center" vertical="center"/>
    </xf>
    <xf numFmtId="178" fontId="9" fillId="3" borderId="31" xfId="1" applyNumberFormat="1" applyFont="1" applyFill="1" applyBorder="1" applyAlignment="1">
      <alignment horizontal="center" vertical="center"/>
    </xf>
    <xf numFmtId="179" fontId="13" fillId="0" borderId="25" xfId="2" applyNumberFormat="1" applyFont="1" applyFill="1" applyBorder="1" applyAlignment="1">
      <alignment horizontal="center" vertical="center"/>
    </xf>
    <xf numFmtId="41" fontId="13" fillId="0" borderId="24" xfId="1" applyFont="1" applyFill="1" applyBorder="1" applyAlignment="1">
      <alignment horizontal="center" vertical="center"/>
    </xf>
    <xf numFmtId="180" fontId="17" fillId="0" borderId="0" xfId="2" applyNumberFormat="1" applyFont="1" applyFill="1" applyBorder="1" applyAlignment="1">
      <alignment horizontal="center" vertical="center"/>
    </xf>
    <xf numFmtId="176" fontId="14" fillId="0" borderId="0" xfId="2" applyNumberFormat="1" applyFont="1" applyFill="1" applyBorder="1" applyAlignment="1">
      <alignment horizontal="center" vertical="center"/>
    </xf>
    <xf numFmtId="176" fontId="18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41" fontId="10" fillId="0" borderId="28" xfId="1" applyFont="1" applyFill="1" applyBorder="1" applyAlignment="1">
      <alignment horizontal="center" vertical="center"/>
    </xf>
    <xf numFmtId="41" fontId="9" fillId="0" borderId="25" xfId="1" applyFont="1" applyFill="1" applyBorder="1" applyAlignment="1">
      <alignment horizontal="center" vertical="center"/>
    </xf>
    <xf numFmtId="41" fontId="13" fillId="0" borderId="25" xfId="1" applyFont="1" applyFill="1" applyBorder="1" applyAlignment="1">
      <alignment horizontal="center" vertical="center"/>
    </xf>
    <xf numFmtId="176" fontId="6" fillId="0" borderId="15" xfId="2" applyNumberFormat="1" applyFont="1" applyFill="1" applyBorder="1" applyAlignment="1">
      <alignment horizontal="center" vertical="center"/>
    </xf>
    <xf numFmtId="177" fontId="6" fillId="0" borderId="20" xfId="2" applyNumberFormat="1" applyFont="1" applyFill="1" applyBorder="1" applyAlignment="1">
      <alignment horizontal="center" vertical="center" shrinkToFit="1"/>
    </xf>
    <xf numFmtId="176" fontId="6" fillId="0" borderId="21" xfId="2" applyNumberFormat="1" applyFont="1" applyFill="1" applyBorder="1" applyAlignment="1">
      <alignment horizontal="center" vertical="center" shrinkToFit="1"/>
    </xf>
    <xf numFmtId="176" fontId="6" fillId="0" borderId="37" xfId="2" applyNumberFormat="1" applyFont="1" applyFill="1" applyBorder="1" applyAlignment="1">
      <alignment horizontal="center" vertical="center"/>
    </xf>
    <xf numFmtId="0" fontId="6" fillId="0" borderId="25" xfId="2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14" fillId="2" borderId="20" xfId="2" applyNumberFormat="1" applyFont="1" applyFill="1" applyBorder="1" applyAlignment="1">
      <alignment horizontal="center" vertical="center"/>
    </xf>
    <xf numFmtId="176" fontId="14" fillId="2" borderId="21" xfId="2" applyNumberFormat="1" applyFont="1" applyFill="1" applyBorder="1" applyAlignment="1">
      <alignment horizontal="center" vertical="center"/>
    </xf>
    <xf numFmtId="180" fontId="14" fillId="0" borderId="5" xfId="3" applyNumberFormat="1" applyFont="1" applyFill="1" applyBorder="1" applyAlignment="1">
      <alignment horizontal="center" vertical="center"/>
    </xf>
    <xf numFmtId="176" fontId="6" fillId="0" borderId="20" xfId="2" applyNumberFormat="1" applyFont="1" applyFill="1" applyBorder="1" applyAlignment="1">
      <alignment horizontal="center" vertical="center" wrapText="1" shrinkToFit="1"/>
    </xf>
    <xf numFmtId="180" fontId="15" fillId="0" borderId="0" xfId="2" applyNumberFormat="1" applyFont="1" applyFill="1" applyBorder="1" applyAlignment="1">
      <alignment horizontal="left" vertical="center"/>
    </xf>
    <xf numFmtId="176" fontId="25" fillId="0" borderId="0" xfId="2" applyNumberFormat="1" applyFont="1" applyFill="1" applyBorder="1" applyAlignment="1">
      <alignment horizontal="left" vertical="center"/>
    </xf>
    <xf numFmtId="180" fontId="25" fillId="0" borderId="0" xfId="2" applyNumberFormat="1" applyFont="1" applyFill="1" applyBorder="1" applyAlignment="1">
      <alignment horizontal="left" vertical="center"/>
    </xf>
    <xf numFmtId="176" fontId="26" fillId="0" borderId="0" xfId="2" applyNumberFormat="1" applyFont="1" applyFill="1" applyBorder="1" applyAlignment="1">
      <alignment horizontal="left" vertical="center"/>
    </xf>
    <xf numFmtId="0" fontId="26" fillId="0" borderId="0" xfId="2" applyNumberFormat="1" applyFont="1" applyFill="1" applyBorder="1" applyAlignment="1">
      <alignment horizontal="left" vertical="center"/>
    </xf>
    <xf numFmtId="176" fontId="26" fillId="0" borderId="0" xfId="2" applyNumberFormat="1" applyFont="1" applyFill="1" applyBorder="1" applyAlignment="1">
      <alignment horizontal="center" vertical="center"/>
    </xf>
    <xf numFmtId="176" fontId="27" fillId="0" borderId="0" xfId="3" quotePrefix="1" applyNumberFormat="1" applyFont="1" applyFill="1" applyBorder="1" applyAlignment="1">
      <alignment vertical="center" wrapText="1"/>
    </xf>
    <xf numFmtId="176" fontId="28" fillId="0" borderId="0" xfId="2" applyNumberFormat="1" applyFont="1" applyFill="1" applyBorder="1" applyAlignment="1">
      <alignment horizontal="center" vertical="center"/>
    </xf>
    <xf numFmtId="176" fontId="29" fillId="0" borderId="0" xfId="3" applyNumberFormat="1" applyFont="1" applyFill="1" applyBorder="1" applyAlignment="1">
      <alignment horizontal="right" vertical="center"/>
    </xf>
    <xf numFmtId="176" fontId="30" fillId="0" borderId="0" xfId="2" quotePrefix="1" applyNumberFormat="1" applyFont="1" applyFill="1" applyBorder="1" applyAlignment="1">
      <alignment vertical="center"/>
    </xf>
    <xf numFmtId="176" fontId="30" fillId="0" borderId="0" xfId="2" applyNumberFormat="1" applyFont="1" applyFill="1" applyBorder="1" applyAlignment="1">
      <alignment vertical="center" wrapText="1"/>
    </xf>
    <xf numFmtId="42" fontId="28" fillId="0" borderId="0" xfId="2" applyNumberFormat="1" applyFont="1" applyFill="1" applyBorder="1" applyAlignment="1">
      <alignment vertical="center"/>
    </xf>
    <xf numFmtId="42" fontId="31" fillId="0" borderId="0" xfId="2" applyNumberFormat="1" applyFont="1" applyFill="1" applyBorder="1" applyAlignment="1">
      <alignment horizontal="center" vertical="center"/>
    </xf>
    <xf numFmtId="176" fontId="31" fillId="0" borderId="0" xfId="2" applyNumberFormat="1" applyFont="1" applyFill="1" applyBorder="1" applyAlignment="1">
      <alignment horizontal="center" vertical="center"/>
    </xf>
    <xf numFmtId="176" fontId="27" fillId="0" borderId="0" xfId="3" quotePrefix="1" applyNumberFormat="1" applyFont="1" applyFill="1" applyBorder="1" applyAlignment="1">
      <alignment vertical="center"/>
    </xf>
    <xf numFmtId="41" fontId="28" fillId="0" borderId="24" xfId="1" applyFont="1" applyFill="1" applyBorder="1" applyAlignment="1">
      <alignment horizontal="center" vertical="center"/>
    </xf>
    <xf numFmtId="181" fontId="34" fillId="0" borderId="25" xfId="1" applyNumberFormat="1" applyFont="1" applyFill="1" applyBorder="1" applyAlignment="1">
      <alignment horizontal="center" vertical="center"/>
    </xf>
    <xf numFmtId="41" fontId="34" fillId="0" borderId="25" xfId="1" applyFont="1" applyFill="1" applyBorder="1" applyAlignment="1">
      <alignment horizontal="center" vertical="center"/>
    </xf>
    <xf numFmtId="178" fontId="34" fillId="4" borderId="31" xfId="1" applyNumberFormat="1" applyFont="1" applyFill="1" applyBorder="1" applyAlignment="1">
      <alignment horizontal="center" vertical="center"/>
    </xf>
    <xf numFmtId="176" fontId="25" fillId="0" borderId="40" xfId="2" applyNumberFormat="1" applyFont="1" applyFill="1" applyBorder="1" applyAlignment="1">
      <alignment horizontal="left" vertical="center"/>
    </xf>
    <xf numFmtId="180" fontId="25" fillId="0" borderId="40" xfId="2" applyNumberFormat="1" applyFont="1" applyFill="1" applyBorder="1" applyAlignment="1">
      <alignment horizontal="left" vertical="center"/>
    </xf>
    <xf numFmtId="176" fontId="26" fillId="0" borderId="16" xfId="2" applyNumberFormat="1" applyFont="1" applyFill="1" applyBorder="1" applyAlignment="1">
      <alignment horizontal="center" vertical="center"/>
    </xf>
    <xf numFmtId="176" fontId="26" fillId="0" borderId="17" xfId="2" applyNumberFormat="1" applyFont="1" applyFill="1" applyBorder="1" applyAlignment="1">
      <alignment horizontal="center" vertical="center"/>
    </xf>
    <xf numFmtId="176" fontId="26" fillId="0" borderId="17" xfId="2" applyNumberFormat="1" applyFont="1" applyFill="1" applyBorder="1" applyAlignment="1">
      <alignment horizontal="center" vertical="center" wrapText="1"/>
    </xf>
    <xf numFmtId="176" fontId="35" fillId="0" borderId="0" xfId="2" applyNumberFormat="1" applyFont="1" applyFill="1" applyBorder="1" applyAlignment="1">
      <alignment vertical="top"/>
    </xf>
    <xf numFmtId="176" fontId="26" fillId="0" borderId="0" xfId="2" applyNumberFormat="1" applyFont="1" applyFill="1" applyBorder="1" applyAlignment="1"/>
    <xf numFmtId="176" fontId="26" fillId="0" borderId="14" xfId="2" applyNumberFormat="1" applyFont="1" applyFill="1" applyBorder="1" applyAlignment="1"/>
    <xf numFmtId="176" fontId="30" fillId="0" borderId="0" xfId="2" applyNumberFormat="1" applyFont="1" applyFill="1" applyBorder="1" applyAlignment="1">
      <alignment horizontal="center" vertical="center"/>
    </xf>
    <xf numFmtId="176" fontId="26" fillId="0" borderId="7" xfId="2" applyNumberFormat="1" applyFont="1" applyFill="1" applyBorder="1" applyAlignment="1">
      <alignment horizontal="left" vertical="center"/>
    </xf>
    <xf numFmtId="41" fontId="30" fillId="0" borderId="41" xfId="1" applyFont="1" applyFill="1" applyBorder="1" applyAlignment="1">
      <alignment horizontal="center" vertical="center"/>
    </xf>
    <xf numFmtId="176" fontId="26" fillId="0" borderId="43" xfId="2" applyNumberFormat="1" applyFont="1" applyFill="1" applyBorder="1" applyAlignment="1">
      <alignment horizontal="center" vertical="center"/>
    </xf>
    <xf numFmtId="176" fontId="26" fillId="0" borderId="44" xfId="2" applyNumberFormat="1" applyFont="1" applyFill="1" applyBorder="1" applyAlignment="1">
      <alignment horizontal="center" vertical="center"/>
    </xf>
    <xf numFmtId="0" fontId="26" fillId="0" borderId="44" xfId="2" applyNumberFormat="1" applyFont="1" applyFill="1" applyBorder="1" applyAlignment="1">
      <alignment horizontal="center" vertical="center"/>
    </xf>
    <xf numFmtId="176" fontId="26" fillId="0" borderId="48" xfId="2" applyNumberFormat="1" applyFont="1" applyFill="1" applyBorder="1" applyAlignment="1">
      <alignment horizontal="center" vertical="center"/>
    </xf>
    <xf numFmtId="176" fontId="26" fillId="0" borderId="21" xfId="2" applyNumberFormat="1" applyFont="1" applyFill="1" applyBorder="1" applyAlignment="1">
      <alignment horizontal="center" vertical="center"/>
    </xf>
    <xf numFmtId="176" fontId="26" fillId="0" borderId="20" xfId="2" applyNumberFormat="1" applyFont="1" applyFill="1" applyBorder="1" applyAlignment="1">
      <alignment horizontal="center" vertical="center"/>
    </xf>
    <xf numFmtId="0" fontId="26" fillId="0" borderId="20" xfId="2" applyNumberFormat="1" applyFont="1" applyFill="1" applyBorder="1" applyAlignment="1">
      <alignment horizontal="center" vertical="center"/>
    </xf>
    <xf numFmtId="176" fontId="26" fillId="0" borderId="19" xfId="2" applyNumberFormat="1" applyFont="1" applyFill="1" applyBorder="1" applyAlignment="1">
      <alignment horizontal="center" vertical="center"/>
    </xf>
    <xf numFmtId="177" fontId="26" fillId="0" borderId="20" xfId="2" applyNumberFormat="1" applyFont="1" applyFill="1" applyBorder="1" applyAlignment="1">
      <alignment horizontal="center" vertical="center" shrinkToFit="1"/>
    </xf>
    <xf numFmtId="176" fontId="26" fillId="0" borderId="18" xfId="2" applyNumberFormat="1" applyFont="1" applyFill="1" applyBorder="1" applyAlignment="1">
      <alignment horizontal="center" vertical="center"/>
    </xf>
    <xf numFmtId="176" fontId="26" fillId="0" borderId="15" xfId="2" applyNumberFormat="1" applyFont="1" applyFill="1" applyBorder="1" applyAlignment="1">
      <alignment horizontal="center" vertical="center"/>
    </xf>
    <xf numFmtId="176" fontId="26" fillId="0" borderId="21" xfId="2" applyNumberFormat="1" applyFont="1" applyFill="1" applyBorder="1" applyAlignment="1">
      <alignment horizontal="center" vertical="center" shrinkToFit="1"/>
    </xf>
    <xf numFmtId="176" fontId="34" fillId="0" borderId="20" xfId="2" applyNumberFormat="1" applyFont="1" applyFill="1" applyBorder="1" applyAlignment="1">
      <alignment horizontal="left" vertical="center"/>
    </xf>
    <xf numFmtId="176" fontId="26" fillId="0" borderId="20" xfId="2" applyNumberFormat="1" applyFont="1" applyFill="1" applyBorder="1" applyAlignment="1">
      <alignment horizontal="center" vertical="center" shrinkToFit="1"/>
    </xf>
    <xf numFmtId="176" fontId="26" fillId="0" borderId="18" xfId="2" applyNumberFormat="1" applyFont="1" applyFill="1" applyBorder="1" applyAlignment="1">
      <alignment horizontal="center" vertical="center" wrapText="1" shrinkToFit="1"/>
    </xf>
    <xf numFmtId="176" fontId="26" fillId="0" borderId="18" xfId="2" applyNumberFormat="1" applyFont="1" applyFill="1" applyBorder="1" applyAlignment="1">
      <alignment horizontal="center" vertical="center" shrinkToFit="1"/>
    </xf>
    <xf numFmtId="176" fontId="26" fillId="0" borderId="15" xfId="2" applyNumberFormat="1" applyFont="1" applyFill="1" applyBorder="1" applyAlignment="1">
      <alignment horizontal="center" vertical="center" shrinkToFit="1"/>
    </xf>
    <xf numFmtId="177" fontId="26" fillId="0" borderId="15" xfId="2" applyNumberFormat="1" applyFont="1" applyFill="1" applyBorder="1" applyAlignment="1">
      <alignment horizontal="center" vertical="center" shrinkToFit="1"/>
    </xf>
    <xf numFmtId="176" fontId="26" fillId="0" borderId="51" xfId="2" applyNumberFormat="1" applyFont="1" applyFill="1" applyBorder="1" applyAlignment="1">
      <alignment horizontal="center" vertical="center"/>
    </xf>
    <xf numFmtId="176" fontId="36" fillId="0" borderId="0" xfId="2" applyNumberFormat="1" applyFont="1" applyFill="1" applyBorder="1" applyAlignment="1">
      <alignment horizontal="left" vertical="center"/>
    </xf>
    <xf numFmtId="176" fontId="36" fillId="0" borderId="40" xfId="2" applyNumberFormat="1" applyFont="1" applyFill="1" applyBorder="1" applyAlignment="1">
      <alignment horizontal="left" vertical="center"/>
    </xf>
    <xf numFmtId="176" fontId="30" fillId="2" borderId="43" xfId="2" applyNumberFormat="1" applyFont="1" applyFill="1" applyBorder="1" applyAlignment="1">
      <alignment horizontal="center" vertical="center"/>
    </xf>
    <xf numFmtId="176" fontId="30" fillId="2" borderId="44" xfId="2" applyNumberFormat="1" applyFont="1" applyFill="1" applyBorder="1" applyAlignment="1">
      <alignment horizontal="center" vertical="center"/>
    </xf>
    <xf numFmtId="176" fontId="34" fillId="0" borderId="0" xfId="2" applyNumberFormat="1" applyFont="1" applyFill="1" applyBorder="1" applyAlignment="1">
      <alignment horizontal="left" vertical="center"/>
    </xf>
    <xf numFmtId="176" fontId="30" fillId="0" borderId="0" xfId="2" quotePrefix="1" applyNumberFormat="1" applyFont="1" applyFill="1" applyBorder="1" applyAlignment="1">
      <alignment horizontal="center" vertical="center"/>
    </xf>
    <xf numFmtId="176" fontId="30" fillId="0" borderId="0" xfId="2" applyNumberFormat="1" applyFont="1" applyFill="1" applyBorder="1" applyAlignment="1">
      <alignment horizontal="left" vertical="center"/>
    </xf>
    <xf numFmtId="0" fontId="35" fillId="0" borderId="40" xfId="0" applyFont="1" applyBorder="1">
      <alignment vertical="center"/>
    </xf>
    <xf numFmtId="180" fontId="28" fillId="0" borderId="0" xfId="2" applyNumberFormat="1" applyFont="1" applyFill="1" applyBorder="1" applyAlignment="1">
      <alignment horizontal="center" vertical="center"/>
    </xf>
    <xf numFmtId="0" fontId="34" fillId="0" borderId="0" xfId="2" applyNumberFormat="1" applyFont="1" applyFill="1" applyBorder="1" applyAlignment="1">
      <alignment horizontal="left" vertical="center"/>
    </xf>
    <xf numFmtId="176" fontId="37" fillId="0" borderId="0" xfId="2" quotePrefix="1" applyNumberFormat="1" applyFont="1" applyFill="1" applyBorder="1" applyAlignment="1">
      <alignment horizontal="left" vertical="top"/>
    </xf>
    <xf numFmtId="180" fontId="30" fillId="4" borderId="58" xfId="2" quotePrefix="1" applyNumberFormat="1" applyFont="1" applyFill="1" applyBorder="1" applyAlignment="1">
      <alignment horizontal="center" vertical="center"/>
    </xf>
    <xf numFmtId="176" fontId="30" fillId="4" borderId="58" xfId="2" quotePrefix="1" applyNumberFormat="1" applyFont="1" applyFill="1" applyBorder="1" applyAlignment="1">
      <alignment horizontal="center" vertical="center"/>
    </xf>
    <xf numFmtId="176" fontId="40" fillId="0" borderId="0" xfId="2" applyNumberFormat="1" applyFont="1" applyFill="1" applyBorder="1" applyAlignment="1">
      <alignment horizontal="center"/>
    </xf>
    <xf numFmtId="176" fontId="30" fillId="2" borderId="1" xfId="2" applyNumberFormat="1" applyFont="1" applyFill="1" applyBorder="1" applyAlignment="1">
      <alignment horizontal="center" vertical="center" wrapText="1"/>
    </xf>
    <xf numFmtId="176" fontId="30" fillId="2" borderId="30" xfId="2" applyNumberFormat="1" applyFont="1" applyFill="1" applyBorder="1" applyAlignment="1">
      <alignment horizontal="center" vertical="center" wrapText="1"/>
    </xf>
    <xf numFmtId="176" fontId="39" fillId="0" borderId="0" xfId="2" applyNumberFormat="1" applyFont="1" applyFill="1" applyBorder="1" applyAlignment="1">
      <alignment horizontal="left"/>
    </xf>
    <xf numFmtId="180" fontId="36" fillId="0" borderId="40" xfId="2" applyNumberFormat="1" applyFont="1" applyFill="1" applyBorder="1" applyAlignment="1">
      <alignment horizontal="left" vertical="center"/>
    </xf>
    <xf numFmtId="180" fontId="8" fillId="0" borderId="0" xfId="2" applyNumberFormat="1" applyFont="1" applyFill="1" applyBorder="1" applyAlignment="1">
      <alignment horizontal="left" vertical="center"/>
    </xf>
    <xf numFmtId="176" fontId="42" fillId="0" borderId="20" xfId="2" applyNumberFormat="1" applyFont="1" applyFill="1" applyBorder="1" applyAlignment="1">
      <alignment horizontal="center" vertical="center"/>
    </xf>
    <xf numFmtId="176" fontId="12" fillId="2" borderId="8" xfId="2" quotePrefix="1" applyNumberFormat="1" applyFont="1" applyFill="1" applyBorder="1" applyAlignment="1">
      <alignment horizontal="center" vertical="center"/>
    </xf>
    <xf numFmtId="176" fontId="12" fillId="2" borderId="13" xfId="2" quotePrefix="1" applyNumberFormat="1" applyFont="1" applyFill="1" applyBorder="1" applyAlignment="1">
      <alignment horizontal="center" vertical="center"/>
    </xf>
    <xf numFmtId="176" fontId="6" fillId="0" borderId="22" xfId="2" applyNumberFormat="1" applyFont="1" applyFill="1" applyBorder="1" applyAlignment="1">
      <alignment horizontal="center" vertical="center" wrapText="1"/>
    </xf>
    <xf numFmtId="176" fontId="6" fillId="0" borderId="23" xfId="2" applyNumberFormat="1" applyFont="1" applyFill="1" applyBorder="1" applyAlignment="1">
      <alignment horizontal="center" vertical="center" wrapText="1"/>
    </xf>
    <xf numFmtId="176" fontId="14" fillId="2" borderId="38" xfId="2" applyNumberFormat="1" applyFont="1" applyFill="1" applyBorder="1" applyAlignment="1">
      <alignment horizontal="center" vertical="center"/>
    </xf>
    <xf numFmtId="176" fontId="14" fillId="2" borderId="14" xfId="2" applyNumberFormat="1" applyFont="1" applyFill="1" applyBorder="1" applyAlignment="1">
      <alignment horizontal="center" vertical="center"/>
    </xf>
    <xf numFmtId="176" fontId="14" fillId="2" borderId="26" xfId="2" applyNumberFormat="1" applyFont="1" applyFill="1" applyBorder="1" applyAlignment="1">
      <alignment horizontal="center" vertical="center"/>
    </xf>
    <xf numFmtId="176" fontId="14" fillId="2" borderId="27" xfId="2" applyNumberFormat="1" applyFont="1" applyFill="1" applyBorder="1" applyAlignment="1">
      <alignment horizontal="center" vertical="center"/>
    </xf>
    <xf numFmtId="176" fontId="20" fillId="0" borderId="0" xfId="3" quotePrefix="1" applyNumberFormat="1" applyFont="1" applyFill="1" applyBorder="1" applyAlignment="1">
      <alignment horizontal="left" vertical="center" wrapText="1"/>
    </xf>
    <xf numFmtId="176" fontId="6" fillId="0" borderId="23" xfId="2" applyNumberFormat="1" applyFont="1" applyFill="1" applyBorder="1" applyAlignment="1">
      <alignment horizontal="center" vertical="center" shrinkToFit="1"/>
    </xf>
    <xf numFmtId="176" fontId="6" fillId="0" borderId="20" xfId="2" applyNumberFormat="1" applyFont="1" applyFill="1" applyBorder="1" applyAlignment="1">
      <alignment horizontal="center" vertical="center" shrinkToFit="1"/>
    </xf>
    <xf numFmtId="176" fontId="6" fillId="0" borderId="35" xfId="2" applyNumberFormat="1" applyFont="1" applyFill="1" applyBorder="1" applyAlignment="1">
      <alignment horizontal="center" vertical="center" shrinkToFit="1"/>
    </xf>
    <xf numFmtId="176" fontId="6" fillId="0" borderId="36" xfId="2" applyNumberFormat="1" applyFont="1" applyFill="1" applyBorder="1" applyAlignment="1">
      <alignment horizontal="center" vertical="center" shrinkToFit="1"/>
    </xf>
    <xf numFmtId="176" fontId="20" fillId="0" borderId="32" xfId="2" applyNumberFormat="1" applyFont="1" applyFill="1" applyBorder="1" applyAlignment="1">
      <alignment horizontal="right"/>
    </xf>
    <xf numFmtId="176" fontId="16" fillId="0" borderId="0" xfId="2" applyNumberFormat="1" applyFont="1" applyFill="1" applyBorder="1" applyAlignment="1">
      <alignment horizontal="right"/>
    </xf>
    <xf numFmtId="176" fontId="16" fillId="0" borderId="14" xfId="2" applyNumberFormat="1" applyFont="1" applyFill="1" applyBorder="1" applyAlignment="1">
      <alignment horizontal="right"/>
    </xf>
    <xf numFmtId="176" fontId="16" fillId="0" borderId="7" xfId="2" applyNumberFormat="1" applyFont="1" applyFill="1" applyBorder="1" applyAlignment="1">
      <alignment horizontal="right"/>
    </xf>
    <xf numFmtId="42" fontId="24" fillId="0" borderId="0" xfId="2" applyNumberFormat="1" applyFont="1" applyFill="1" applyBorder="1" applyAlignment="1">
      <alignment horizontal="center" vertical="center"/>
    </xf>
    <xf numFmtId="176" fontId="24" fillId="0" borderId="0" xfId="2" applyNumberFormat="1" applyFont="1" applyFill="1" applyBorder="1" applyAlignment="1">
      <alignment horizontal="center" vertical="center"/>
    </xf>
    <xf numFmtId="176" fontId="14" fillId="2" borderId="12" xfId="2" applyNumberFormat="1" applyFont="1" applyFill="1" applyBorder="1" applyAlignment="1">
      <alignment horizontal="center" vertical="center" wrapText="1"/>
    </xf>
    <xf numFmtId="176" fontId="14" fillId="2" borderId="34" xfId="2" applyNumberFormat="1" applyFont="1" applyFill="1" applyBorder="1" applyAlignment="1">
      <alignment horizontal="center" vertical="center"/>
    </xf>
    <xf numFmtId="176" fontId="7" fillId="0" borderId="0" xfId="2" applyNumberFormat="1" applyFont="1" applyFill="1" applyBorder="1" applyAlignment="1">
      <alignment horizontal="center" vertical="center"/>
    </xf>
    <xf numFmtId="176" fontId="10" fillId="0" borderId="0" xfId="2" applyNumberFormat="1" applyFont="1" applyFill="1" applyBorder="1" applyAlignment="1">
      <alignment horizontal="center" vertical="center"/>
    </xf>
    <xf numFmtId="0" fontId="10" fillId="0" borderId="0" xfId="2" applyNumberFormat="1" applyFont="1" applyFill="1" applyBorder="1" applyAlignment="1">
      <alignment horizontal="center" vertical="center"/>
    </xf>
    <xf numFmtId="176" fontId="23" fillId="3" borderId="26" xfId="2" applyNumberFormat="1" applyFont="1" applyFill="1" applyBorder="1" applyAlignment="1">
      <alignment horizontal="center" vertical="center"/>
    </xf>
    <xf numFmtId="176" fontId="14" fillId="2" borderId="39" xfId="2" applyNumberFormat="1" applyFont="1" applyFill="1" applyBorder="1" applyAlignment="1">
      <alignment horizontal="center" vertical="center"/>
    </xf>
    <xf numFmtId="176" fontId="14" fillId="2" borderId="19" xfId="2" applyNumberFormat="1" applyFont="1" applyFill="1" applyBorder="1" applyAlignment="1">
      <alignment horizontal="center" vertical="center"/>
    </xf>
    <xf numFmtId="0" fontId="14" fillId="2" borderId="17" xfId="2" applyNumberFormat="1" applyFont="1" applyFill="1" applyBorder="1" applyAlignment="1">
      <alignment horizontal="center" vertical="center"/>
    </xf>
    <xf numFmtId="0" fontId="14" fillId="2" borderId="20" xfId="2" applyNumberFormat="1" applyFont="1" applyFill="1" applyBorder="1" applyAlignment="1">
      <alignment horizontal="center" vertical="center"/>
    </xf>
    <xf numFmtId="176" fontId="14" fillId="2" borderId="17" xfId="2" applyNumberFormat="1" applyFont="1" applyFill="1" applyBorder="1" applyAlignment="1">
      <alignment horizontal="center" vertical="center"/>
    </xf>
    <xf numFmtId="176" fontId="14" fillId="2" borderId="16" xfId="2" applyNumberFormat="1" applyFont="1" applyFill="1" applyBorder="1" applyAlignment="1">
      <alignment horizontal="center" vertical="center"/>
    </xf>
    <xf numFmtId="176" fontId="14" fillId="2" borderId="10" xfId="2" applyNumberFormat="1" applyFont="1" applyFill="1" applyBorder="1" applyAlignment="1">
      <alignment horizontal="center" vertical="center"/>
    </xf>
    <xf numFmtId="176" fontId="14" fillId="2" borderId="11" xfId="2" applyNumberFormat="1" applyFont="1" applyFill="1" applyBorder="1" applyAlignment="1">
      <alignment horizontal="center" vertical="center"/>
    </xf>
    <xf numFmtId="176" fontId="14" fillId="2" borderId="0" xfId="2" applyNumberFormat="1" applyFont="1" applyFill="1" applyBorder="1" applyAlignment="1">
      <alignment horizontal="center" vertical="center"/>
    </xf>
    <xf numFmtId="176" fontId="14" fillId="2" borderId="29" xfId="2" applyNumberFormat="1" applyFont="1" applyFill="1" applyBorder="1" applyAlignment="1">
      <alignment horizontal="center" vertical="center"/>
    </xf>
    <xf numFmtId="176" fontId="14" fillId="2" borderId="9" xfId="2" applyNumberFormat="1" applyFont="1" applyFill="1" applyBorder="1" applyAlignment="1">
      <alignment horizontal="center" vertical="center" wrapText="1"/>
    </xf>
    <xf numFmtId="176" fontId="14" fillId="2" borderId="33" xfId="2" applyNumberFormat="1" applyFont="1" applyFill="1" applyBorder="1" applyAlignment="1">
      <alignment horizontal="center" vertical="center" wrapText="1"/>
    </xf>
    <xf numFmtId="14" fontId="11" fillId="3" borderId="14" xfId="2" applyNumberFormat="1" applyFont="1" applyFill="1" applyBorder="1" applyAlignment="1">
      <alignment horizontal="center" vertical="center"/>
    </xf>
    <xf numFmtId="176" fontId="30" fillId="2" borderId="8" xfId="2" quotePrefix="1" applyNumberFormat="1" applyFont="1" applyFill="1" applyBorder="1" applyAlignment="1">
      <alignment horizontal="center" vertical="center"/>
    </xf>
    <xf numFmtId="176" fontId="30" fillId="2" borderId="13" xfId="2" quotePrefix="1" applyNumberFormat="1" applyFont="1" applyFill="1" applyBorder="1" applyAlignment="1">
      <alignment horizontal="center" vertical="center"/>
    </xf>
    <xf numFmtId="176" fontId="30" fillId="2" borderId="38" xfId="2" applyNumberFormat="1" applyFont="1" applyFill="1" applyBorder="1" applyAlignment="1">
      <alignment horizontal="center" vertical="center"/>
    </xf>
    <xf numFmtId="176" fontId="30" fillId="2" borderId="14" xfId="2" applyNumberFormat="1" applyFont="1" applyFill="1" applyBorder="1" applyAlignment="1">
      <alignment horizontal="center" vertical="center"/>
    </xf>
    <xf numFmtId="176" fontId="30" fillId="2" borderId="42" xfId="2" applyNumberFormat="1" applyFont="1" applyFill="1" applyBorder="1" applyAlignment="1">
      <alignment horizontal="center" vertical="center"/>
    </xf>
    <xf numFmtId="176" fontId="30" fillId="2" borderId="57" xfId="2" applyNumberFormat="1" applyFont="1" applyFill="1" applyBorder="1" applyAlignment="1">
      <alignment horizontal="center" vertical="center"/>
    </xf>
    <xf numFmtId="176" fontId="30" fillId="2" borderId="10" xfId="2" applyNumberFormat="1" applyFont="1" applyFill="1" applyBorder="1" applyAlignment="1">
      <alignment horizontal="center" vertical="center"/>
    </xf>
    <xf numFmtId="176" fontId="30" fillId="2" borderId="11" xfId="2" applyNumberFormat="1" applyFont="1" applyFill="1" applyBorder="1" applyAlignment="1">
      <alignment horizontal="center" vertical="center"/>
    </xf>
    <xf numFmtId="176" fontId="30" fillId="2" borderId="56" xfId="2" applyNumberFormat="1" applyFont="1" applyFill="1" applyBorder="1" applyAlignment="1">
      <alignment horizontal="center" vertical="center"/>
    </xf>
    <xf numFmtId="176" fontId="30" fillId="2" borderId="55" xfId="2" applyNumberFormat="1" applyFont="1" applyFill="1" applyBorder="1" applyAlignment="1">
      <alignment horizontal="center" vertical="center"/>
    </xf>
    <xf numFmtId="176" fontId="30" fillId="2" borderId="54" xfId="2" applyNumberFormat="1" applyFont="1" applyFill="1" applyBorder="1" applyAlignment="1">
      <alignment horizontal="center" vertical="center"/>
    </xf>
    <xf numFmtId="176" fontId="30" fillId="2" borderId="9" xfId="2" applyNumberFormat="1" applyFont="1" applyFill="1" applyBorder="1" applyAlignment="1">
      <alignment horizontal="center" vertical="center" wrapText="1"/>
    </xf>
    <xf numFmtId="176" fontId="30" fillId="2" borderId="53" xfId="2" applyNumberFormat="1" applyFont="1" applyFill="1" applyBorder="1" applyAlignment="1">
      <alignment horizontal="center" vertical="center" wrapText="1"/>
    </xf>
    <xf numFmtId="14" fontId="39" fillId="3" borderId="14" xfId="2" applyNumberFormat="1" applyFont="1" applyFill="1" applyBorder="1" applyAlignment="1">
      <alignment horizontal="center" vertical="center"/>
    </xf>
    <xf numFmtId="176" fontId="26" fillId="0" borderId="51" xfId="2" applyNumberFormat="1" applyFont="1" applyFill="1" applyBorder="1" applyAlignment="1">
      <alignment horizontal="center" vertical="center" shrinkToFit="1"/>
    </xf>
    <xf numFmtId="176" fontId="26" fillId="0" borderId="15" xfId="2" applyNumberFormat="1" applyFont="1" applyFill="1" applyBorder="1" applyAlignment="1">
      <alignment horizontal="center" vertical="center" shrinkToFit="1"/>
    </xf>
    <xf numFmtId="176" fontId="26" fillId="0" borderId="19" xfId="2" applyNumberFormat="1" applyFont="1" applyFill="1" applyBorder="1" applyAlignment="1">
      <alignment horizontal="center" vertical="center" shrinkToFit="1"/>
    </xf>
    <xf numFmtId="176" fontId="26" fillId="0" borderId="20" xfId="2" applyNumberFormat="1" applyFont="1" applyFill="1" applyBorder="1" applyAlignment="1">
      <alignment horizontal="center" vertical="center" shrinkToFit="1"/>
    </xf>
    <xf numFmtId="176" fontId="26" fillId="0" borderId="50" xfId="2" applyNumberFormat="1" applyFont="1" applyFill="1" applyBorder="1" applyAlignment="1">
      <alignment horizontal="center" vertical="center" shrinkToFit="1"/>
    </xf>
    <xf numFmtId="176" fontId="26" fillId="0" borderId="35" xfId="2" applyNumberFormat="1" applyFont="1" applyFill="1" applyBorder="1" applyAlignment="1">
      <alignment horizontal="center" vertical="center" shrinkToFit="1"/>
    </xf>
    <xf numFmtId="176" fontId="26" fillId="0" borderId="36" xfId="2" applyNumberFormat="1" applyFont="1" applyFill="1" applyBorder="1" applyAlignment="1">
      <alignment horizontal="center" vertical="center" shrinkToFit="1"/>
    </xf>
    <xf numFmtId="176" fontId="26" fillId="0" borderId="49" xfId="2" applyNumberFormat="1" applyFont="1" applyFill="1" applyBorder="1" applyAlignment="1">
      <alignment horizontal="center" vertical="center" wrapText="1"/>
    </xf>
    <xf numFmtId="176" fontId="26" fillId="0" borderId="22" xfId="2" applyNumberFormat="1" applyFont="1" applyFill="1" applyBorder="1" applyAlignment="1">
      <alignment horizontal="center" vertical="center" wrapText="1"/>
    </xf>
    <xf numFmtId="176" fontId="26" fillId="0" borderId="23" xfId="2" applyNumberFormat="1" applyFont="1" applyFill="1" applyBorder="1" applyAlignment="1">
      <alignment horizontal="center" vertical="center" wrapText="1"/>
    </xf>
    <xf numFmtId="176" fontId="26" fillId="0" borderId="47" xfId="2" applyNumberFormat="1" applyFont="1" applyFill="1" applyBorder="1" applyAlignment="1">
      <alignment horizontal="center" vertical="center" wrapText="1"/>
    </xf>
    <xf numFmtId="176" fontId="26" fillId="0" borderId="46" xfId="2" applyNumberFormat="1" applyFont="1" applyFill="1" applyBorder="1" applyAlignment="1">
      <alignment horizontal="center" vertical="center" wrapText="1"/>
    </xf>
    <xf numFmtId="176" fontId="26" fillId="0" borderId="45" xfId="2" applyNumberFormat="1" applyFont="1" applyFill="1" applyBorder="1" applyAlignment="1">
      <alignment horizontal="center" vertical="center" wrapText="1"/>
    </xf>
    <xf numFmtId="176" fontId="30" fillId="2" borderId="12" xfId="2" applyNumberFormat="1" applyFont="1" applyFill="1" applyBorder="1" applyAlignment="1">
      <alignment horizontal="center" vertical="center" wrapText="1"/>
    </xf>
    <xf numFmtId="176" fontId="30" fillId="2" borderId="52" xfId="2" applyNumberFormat="1" applyFont="1" applyFill="1" applyBorder="1" applyAlignment="1">
      <alignment horizontal="center" vertical="center"/>
    </xf>
    <xf numFmtId="176" fontId="41" fillId="0" borderId="0" xfId="2" applyNumberFormat="1" applyFont="1" applyFill="1" applyBorder="1" applyAlignment="1">
      <alignment horizontal="center" vertical="center"/>
    </xf>
    <xf numFmtId="176" fontId="30" fillId="0" borderId="0" xfId="2" applyNumberFormat="1" applyFont="1" applyFill="1" applyBorder="1" applyAlignment="1">
      <alignment horizontal="center" vertical="center"/>
    </xf>
    <xf numFmtId="0" fontId="30" fillId="0" borderId="0" xfId="2" applyNumberFormat="1" applyFont="1" applyFill="1" applyBorder="1" applyAlignment="1">
      <alignment horizontal="center" vertical="center"/>
    </xf>
    <xf numFmtId="176" fontId="39" fillId="3" borderId="26" xfId="2" applyNumberFormat="1" applyFont="1" applyFill="1" applyBorder="1" applyAlignment="1">
      <alignment horizontal="center" vertical="center"/>
    </xf>
    <xf numFmtId="176" fontId="30" fillId="2" borderId="39" xfId="2" applyNumberFormat="1" applyFont="1" applyFill="1" applyBorder="1" applyAlignment="1">
      <alignment horizontal="center" vertical="center"/>
    </xf>
    <xf numFmtId="176" fontId="30" fillId="2" borderId="48" xfId="2" applyNumberFormat="1" applyFont="1" applyFill="1" applyBorder="1" applyAlignment="1">
      <alignment horizontal="center" vertical="center"/>
    </xf>
    <xf numFmtId="0" fontId="30" fillId="2" borderId="17" xfId="2" applyNumberFormat="1" applyFont="1" applyFill="1" applyBorder="1" applyAlignment="1">
      <alignment horizontal="center" vertical="center"/>
    </xf>
    <xf numFmtId="0" fontId="30" fillId="2" borderId="44" xfId="2" applyNumberFormat="1" applyFont="1" applyFill="1" applyBorder="1" applyAlignment="1">
      <alignment horizontal="center" vertical="center"/>
    </xf>
    <xf numFmtId="176" fontId="30" fillId="2" borderId="17" xfId="2" applyNumberFormat="1" applyFont="1" applyFill="1" applyBorder="1" applyAlignment="1">
      <alignment horizontal="center" vertical="center"/>
    </xf>
    <xf numFmtId="176" fontId="30" fillId="2" borderId="16" xfId="2" applyNumberFormat="1" applyFont="1" applyFill="1" applyBorder="1" applyAlignment="1">
      <alignment horizontal="center" vertical="center"/>
    </xf>
  </cellXfs>
  <cellStyles count="4">
    <cellStyle name="쉼표 [0]" xfId="1" builtinId="6"/>
    <cellStyle name="쉼표 [0] 2" xfId="3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959304</xdr:colOff>
      <xdr:row>33</xdr:row>
      <xdr:rowOff>596446</xdr:rowOff>
    </xdr:from>
    <xdr:to>
      <xdr:col>8</xdr:col>
      <xdr:colOff>2022929</xdr:colOff>
      <xdr:row>34</xdr:row>
      <xdr:rowOff>558346</xdr:rowOff>
    </xdr:to>
    <xdr:pic>
      <xdr:nvPicPr>
        <xdr:cNvPr id="5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95340" y="21728339"/>
          <a:ext cx="2478768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883369</xdr:colOff>
      <xdr:row>26</xdr:row>
      <xdr:rowOff>66674</xdr:rowOff>
    </xdr:from>
    <xdr:to>
      <xdr:col>8</xdr:col>
      <xdr:colOff>934279</xdr:colOff>
      <xdr:row>27</xdr:row>
      <xdr:rowOff>257467</xdr:rowOff>
    </xdr:to>
    <xdr:pic>
      <xdr:nvPicPr>
        <xdr:cNvPr id="2" name="_x245314248" descr="EMB00003ac053fc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1244" y="5514974"/>
          <a:ext cx="841485" cy="3527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43"/>
  <sheetViews>
    <sheetView tabSelected="1" view="pageBreakPreview" zoomScale="55" zoomScaleNormal="100" zoomScaleSheetLayoutView="55" workbookViewId="0">
      <selection activeCell="D14" sqref="D14"/>
    </sheetView>
  </sheetViews>
  <sheetFormatPr defaultColWidth="5.5" defaultRowHeight="45" customHeight="1" x14ac:dyDescent="0.3"/>
  <cols>
    <col min="1" max="1" width="6.875" style="28" customWidth="1"/>
    <col min="2" max="2" width="16.25" style="29" customWidth="1"/>
    <col min="3" max="3" width="28.375" style="11" customWidth="1"/>
    <col min="4" max="4" width="29.875" style="11" customWidth="1"/>
    <col min="5" max="5" width="16.875" style="11" customWidth="1"/>
    <col min="6" max="6" width="23.875" style="11" customWidth="1"/>
    <col min="7" max="7" width="20.375" style="11" customWidth="1"/>
    <col min="8" max="8" width="18.5" style="11" customWidth="1"/>
    <col min="9" max="9" width="27.75" style="11" customWidth="1"/>
    <col min="10" max="16384" width="5.5" style="11"/>
  </cols>
  <sheetData>
    <row r="1" spans="1:18" s="4" customFormat="1" ht="4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</row>
    <row r="2" spans="1:18" s="4" customFormat="1" ht="45" customHeight="1" x14ac:dyDescent="0.3">
      <c r="A2" s="149"/>
      <c r="B2" s="149"/>
      <c r="C2" s="149"/>
      <c r="D2" s="149"/>
      <c r="E2" s="149"/>
      <c r="F2" s="149"/>
      <c r="G2" s="149"/>
      <c r="H2" s="149"/>
      <c r="I2" s="149"/>
    </row>
    <row r="3" spans="1:18" s="4" customFormat="1" ht="45" customHeight="1" thickBot="1" x14ac:dyDescent="0.35">
      <c r="A3" s="5"/>
      <c r="B3" s="5"/>
      <c r="C3" s="5"/>
      <c r="D3" s="5"/>
      <c r="E3" s="5"/>
      <c r="F3" s="5"/>
      <c r="G3" s="5"/>
      <c r="H3" s="5"/>
      <c r="I3" s="5"/>
    </row>
    <row r="4" spans="1:18" s="4" customFormat="1" ht="52.9" customHeight="1" thickBot="1" x14ac:dyDescent="0.6">
      <c r="A4" s="150" t="s">
        <v>1</v>
      </c>
      <c r="B4" s="150"/>
      <c r="C4" s="165"/>
      <c r="D4" s="165"/>
      <c r="E4" s="6"/>
      <c r="F4" s="6"/>
      <c r="G4" s="30" t="s">
        <v>20</v>
      </c>
      <c r="H4" s="30" t="s">
        <v>28</v>
      </c>
      <c r="I4" s="31" t="s">
        <v>84</v>
      </c>
    </row>
    <row r="5" spans="1:18" ht="45" customHeight="1" thickBot="1" x14ac:dyDescent="0.6">
      <c r="A5" s="151" t="s">
        <v>2</v>
      </c>
      <c r="B5" s="151"/>
      <c r="C5" s="152"/>
      <c r="D5" s="152"/>
      <c r="E5" s="7"/>
      <c r="F5" s="7"/>
      <c r="G5" s="9" t="s">
        <v>25</v>
      </c>
      <c r="H5" s="9">
        <v>10</v>
      </c>
      <c r="I5" s="10"/>
    </row>
    <row r="6" spans="1:18" ht="45" customHeight="1" thickBot="1" x14ac:dyDescent="0.6">
      <c r="A6" s="150" t="s">
        <v>3</v>
      </c>
      <c r="B6" s="150"/>
      <c r="C6" s="152"/>
      <c r="D6" s="152"/>
      <c r="E6" s="7"/>
      <c r="F6" s="7"/>
      <c r="G6" s="13" t="s">
        <v>26</v>
      </c>
      <c r="H6" s="13">
        <v>10</v>
      </c>
      <c r="I6" s="57"/>
    </row>
    <row r="7" spans="1:18" ht="45" customHeight="1" thickBot="1" x14ac:dyDescent="0.35">
      <c r="A7" s="14"/>
      <c r="B7" s="15"/>
      <c r="C7" s="16"/>
      <c r="D7" s="16"/>
      <c r="E7" s="16"/>
      <c r="F7" s="16"/>
      <c r="G7" s="35" t="s">
        <v>27</v>
      </c>
      <c r="H7" s="35">
        <v>7</v>
      </c>
      <c r="I7" s="17"/>
      <c r="R7"/>
    </row>
    <row r="8" spans="1:18" ht="45" customHeight="1" x14ac:dyDescent="0.3">
      <c r="A8" s="14"/>
      <c r="B8" s="15"/>
      <c r="C8" s="16"/>
      <c r="D8" s="16"/>
      <c r="E8" s="16"/>
      <c r="F8" s="16"/>
      <c r="G8" s="12"/>
      <c r="H8" s="12"/>
      <c r="I8" s="42"/>
      <c r="R8"/>
    </row>
    <row r="9" spans="1:18" ht="21" customHeight="1" thickBot="1" x14ac:dyDescent="0.35">
      <c r="A9" s="14"/>
      <c r="B9" s="32" t="s">
        <v>24</v>
      </c>
      <c r="C9" s="16"/>
      <c r="D9" s="16"/>
      <c r="E9" s="16"/>
      <c r="F9" s="32"/>
      <c r="G9" s="12"/>
      <c r="H9" s="8"/>
      <c r="I9" s="8"/>
    </row>
    <row r="10" spans="1:18" s="4" customFormat="1" ht="60" customHeight="1" x14ac:dyDescent="0.3">
      <c r="A10" s="153" t="s">
        <v>4</v>
      </c>
      <c r="B10" s="155" t="s">
        <v>5</v>
      </c>
      <c r="C10" s="157" t="s">
        <v>6</v>
      </c>
      <c r="D10" s="158"/>
      <c r="E10" s="159" t="s">
        <v>7</v>
      </c>
      <c r="F10" s="159"/>
      <c r="G10" s="160"/>
      <c r="H10" s="163" t="s">
        <v>8</v>
      </c>
      <c r="I10" s="147" t="s">
        <v>9</v>
      </c>
    </row>
    <row r="11" spans="1:18" s="4" customFormat="1" ht="60" customHeight="1" x14ac:dyDescent="0.3">
      <c r="A11" s="154"/>
      <c r="B11" s="156"/>
      <c r="C11" s="55" t="s">
        <v>10</v>
      </c>
      <c r="D11" s="56" t="s">
        <v>11</v>
      </c>
      <c r="E11" s="161"/>
      <c r="F11" s="161"/>
      <c r="G11" s="162"/>
      <c r="H11" s="164"/>
      <c r="I11" s="148"/>
    </row>
    <row r="12" spans="1:18" ht="60" customHeight="1" x14ac:dyDescent="0.3">
      <c r="A12" s="18">
        <v>1</v>
      </c>
      <c r="B12" s="50"/>
      <c r="C12" s="54"/>
      <c r="D12" s="51"/>
      <c r="E12" s="137"/>
      <c r="F12" s="138"/>
      <c r="G12" s="138"/>
      <c r="H12" s="2"/>
      <c r="I12" s="58"/>
    </row>
    <row r="13" spans="1:18" ht="60" customHeight="1" x14ac:dyDescent="0.3">
      <c r="A13" s="18">
        <v>2</v>
      </c>
      <c r="B13" s="50"/>
      <c r="C13" s="54"/>
      <c r="D13" s="51"/>
      <c r="E13" s="137"/>
      <c r="F13" s="138"/>
      <c r="G13" s="138"/>
      <c r="H13" s="2"/>
      <c r="I13" s="58"/>
    </row>
    <row r="14" spans="1:18" ht="60" customHeight="1" x14ac:dyDescent="0.3">
      <c r="A14" s="18">
        <v>3</v>
      </c>
      <c r="B14" s="50"/>
      <c r="C14" s="127"/>
      <c r="D14" s="51"/>
      <c r="E14" s="139"/>
      <c r="F14" s="139"/>
      <c r="G14" s="140"/>
      <c r="H14" s="49"/>
      <c r="I14" s="58"/>
    </row>
    <row r="15" spans="1:18" ht="60" customHeight="1" x14ac:dyDescent="0.3">
      <c r="A15" s="18">
        <v>4</v>
      </c>
      <c r="B15" s="50"/>
      <c r="C15" s="2"/>
      <c r="D15" s="3"/>
      <c r="E15" s="130"/>
      <c r="F15" s="130"/>
      <c r="G15" s="131"/>
      <c r="H15" s="2"/>
      <c r="I15" s="3"/>
    </row>
    <row r="16" spans="1:18" ht="60" customHeight="1" x14ac:dyDescent="0.3">
      <c r="A16" s="18">
        <v>5</v>
      </c>
      <c r="B16" s="1"/>
      <c r="C16" s="2"/>
      <c r="D16" s="3"/>
      <c r="E16" s="130"/>
      <c r="F16" s="130"/>
      <c r="G16" s="131"/>
      <c r="H16" s="2"/>
      <c r="I16" s="3"/>
    </row>
    <row r="17" spans="1:10" ht="60" customHeight="1" x14ac:dyDescent="0.3">
      <c r="A17" s="18">
        <v>6</v>
      </c>
      <c r="B17" s="1"/>
      <c r="C17" s="2"/>
      <c r="D17" s="3"/>
      <c r="E17" s="130"/>
      <c r="F17" s="130"/>
      <c r="G17" s="131"/>
      <c r="H17" s="2"/>
      <c r="I17" s="3"/>
    </row>
    <row r="18" spans="1:10" ht="60" customHeight="1" x14ac:dyDescent="0.3">
      <c r="A18" s="18">
        <v>7</v>
      </c>
      <c r="B18" s="1"/>
      <c r="C18" s="2"/>
      <c r="D18" s="3"/>
      <c r="E18" s="130"/>
      <c r="F18" s="130"/>
      <c r="G18" s="131"/>
      <c r="H18" s="2"/>
      <c r="I18" s="3"/>
    </row>
    <row r="19" spans="1:10" ht="60" customHeight="1" x14ac:dyDescent="0.3">
      <c r="A19" s="18">
        <v>8</v>
      </c>
      <c r="B19" s="1"/>
      <c r="C19" s="2"/>
      <c r="D19" s="3"/>
      <c r="E19" s="130"/>
      <c r="F19" s="130"/>
      <c r="G19" s="131"/>
      <c r="H19" s="2"/>
      <c r="I19" s="3"/>
    </row>
    <row r="20" spans="1:10" ht="60" customHeight="1" x14ac:dyDescent="0.3">
      <c r="A20" s="18">
        <v>9</v>
      </c>
      <c r="B20" s="1"/>
      <c r="C20" s="2"/>
      <c r="D20" s="3"/>
      <c r="E20" s="130"/>
      <c r="F20" s="130"/>
      <c r="G20" s="131"/>
      <c r="H20" s="2"/>
      <c r="I20" s="3"/>
    </row>
    <row r="21" spans="1:10" ht="60" customHeight="1" x14ac:dyDescent="0.3">
      <c r="A21" s="18">
        <v>10</v>
      </c>
      <c r="B21" s="1"/>
      <c r="C21" s="2"/>
      <c r="D21" s="3"/>
      <c r="E21" s="130"/>
      <c r="F21" s="130"/>
      <c r="G21" s="131"/>
      <c r="H21" s="2"/>
      <c r="I21" s="3"/>
    </row>
    <row r="22" spans="1:10" ht="60" customHeight="1" x14ac:dyDescent="0.3">
      <c r="A22" s="18">
        <v>11</v>
      </c>
      <c r="B22" s="1"/>
      <c r="C22" s="2"/>
      <c r="D22" s="3"/>
      <c r="E22" s="130"/>
      <c r="F22" s="130"/>
      <c r="G22" s="131"/>
      <c r="H22" s="2"/>
      <c r="I22" s="3"/>
    </row>
    <row r="23" spans="1:10" ht="60" customHeight="1" x14ac:dyDescent="0.3">
      <c r="A23" s="18">
        <v>12</v>
      </c>
      <c r="B23" s="1"/>
      <c r="C23" s="2"/>
      <c r="D23" s="3"/>
      <c r="E23" s="130"/>
      <c r="F23" s="130"/>
      <c r="G23" s="131"/>
      <c r="H23" s="2"/>
      <c r="I23" s="3"/>
    </row>
    <row r="24" spans="1:10" ht="60" customHeight="1" x14ac:dyDescent="0.3">
      <c r="A24" s="18">
        <v>13</v>
      </c>
      <c r="B24" s="1"/>
      <c r="C24" s="2"/>
      <c r="D24" s="3"/>
      <c r="E24" s="130"/>
      <c r="F24" s="130"/>
      <c r="G24" s="131"/>
      <c r="H24" s="2"/>
      <c r="I24" s="3"/>
    </row>
    <row r="25" spans="1:10" ht="60" customHeight="1" x14ac:dyDescent="0.3">
      <c r="A25" s="18">
        <v>14</v>
      </c>
      <c r="B25" s="1"/>
      <c r="C25" s="2"/>
      <c r="D25" s="3"/>
      <c r="E25" s="130"/>
      <c r="F25" s="130"/>
      <c r="G25" s="131"/>
      <c r="H25" s="2"/>
      <c r="I25" s="3"/>
    </row>
    <row r="26" spans="1:10" ht="60" customHeight="1" thickBot="1" x14ac:dyDescent="0.35">
      <c r="A26" s="52">
        <v>15</v>
      </c>
      <c r="B26" s="53"/>
      <c r="C26" s="20"/>
      <c r="D26" s="19"/>
      <c r="E26" s="130"/>
      <c r="F26" s="130"/>
      <c r="G26" s="131"/>
      <c r="H26" s="20"/>
      <c r="I26" s="33"/>
    </row>
    <row r="27" spans="1:10" ht="60" customHeight="1" thickBot="1" x14ac:dyDescent="0.35">
      <c r="A27" s="132" t="s">
        <v>12</v>
      </c>
      <c r="B27" s="133"/>
      <c r="C27" s="133"/>
      <c r="D27" s="133"/>
      <c r="E27" s="134"/>
      <c r="F27" s="134"/>
      <c r="G27" s="135"/>
      <c r="H27" s="46">
        <f>SUM(H12:H26)</f>
        <v>0</v>
      </c>
      <c r="I27" s="21" t="s">
        <v>13</v>
      </c>
    </row>
    <row r="28" spans="1:10" ht="27.75" customHeight="1" x14ac:dyDescent="0.3">
      <c r="A28" s="43"/>
      <c r="B28" s="43"/>
      <c r="C28" s="43"/>
      <c r="D28" s="43"/>
      <c r="E28" s="43"/>
      <c r="F28" s="43"/>
      <c r="G28" s="43"/>
      <c r="H28" s="44"/>
      <c r="I28" s="16"/>
    </row>
    <row r="29" spans="1:10" ht="60" customHeight="1" thickBot="1" x14ac:dyDescent="0.5">
      <c r="A29" s="141" t="s">
        <v>14</v>
      </c>
      <c r="B29" s="142"/>
      <c r="C29" s="143"/>
      <c r="D29" s="143"/>
      <c r="E29" s="143"/>
      <c r="F29" s="143"/>
      <c r="G29" s="143"/>
      <c r="H29" s="143"/>
      <c r="I29" s="144"/>
      <c r="J29" s="34"/>
    </row>
    <row r="30" spans="1:10" ht="60" customHeight="1" x14ac:dyDescent="0.3">
      <c r="A30" s="36"/>
      <c r="B30" s="37"/>
      <c r="C30" s="128" t="s">
        <v>29</v>
      </c>
      <c r="D30" s="22" t="s">
        <v>22</v>
      </c>
      <c r="E30" s="22" t="s">
        <v>15</v>
      </c>
      <c r="F30" s="23" t="s">
        <v>19</v>
      </c>
      <c r="G30" s="22" t="s">
        <v>21</v>
      </c>
      <c r="H30" s="22" t="s">
        <v>16</v>
      </c>
      <c r="I30" s="38" t="s">
        <v>17</v>
      </c>
    </row>
    <row r="31" spans="1:10" ht="60" customHeight="1" thickBot="1" x14ac:dyDescent="0.35">
      <c r="A31" s="36"/>
      <c r="B31" s="37"/>
      <c r="C31" s="129"/>
      <c r="D31" s="39"/>
      <c r="E31" s="47"/>
      <c r="F31" s="47"/>
      <c r="G31" s="48"/>
      <c r="H31" s="40"/>
      <c r="I31" s="41"/>
    </row>
    <row r="32" spans="1:10" ht="85.5" customHeight="1" x14ac:dyDescent="0.3">
      <c r="A32" s="36"/>
      <c r="B32" s="37"/>
      <c r="C32" s="37"/>
      <c r="D32" s="24"/>
      <c r="E32" s="146" t="s">
        <v>23</v>
      </c>
      <c r="F32" s="146"/>
      <c r="G32" s="145"/>
      <c r="H32" s="145"/>
      <c r="I32" s="25"/>
    </row>
    <row r="33" spans="1:9" ht="28.5" customHeight="1" x14ac:dyDescent="0.3">
      <c r="A33" s="36"/>
      <c r="B33" s="37"/>
      <c r="C33" s="37"/>
      <c r="D33" s="24"/>
      <c r="E33" s="45"/>
      <c r="F33" s="45"/>
      <c r="G33" s="45"/>
      <c r="H33" s="45"/>
      <c r="I33" s="25"/>
    </row>
    <row r="34" spans="1:9" ht="60" customHeight="1" x14ac:dyDescent="0.3">
      <c r="A34" s="25"/>
      <c r="B34" s="136" t="s">
        <v>30</v>
      </c>
      <c r="C34" s="136"/>
      <c r="D34" s="136"/>
      <c r="E34" s="136"/>
      <c r="F34" s="136"/>
      <c r="G34" s="136"/>
      <c r="H34" s="136"/>
      <c r="I34" s="136"/>
    </row>
    <row r="35" spans="1:9" ht="60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A36" s="25"/>
      <c r="B36" s="26"/>
      <c r="C36" s="27"/>
      <c r="D36" s="27"/>
      <c r="E36" s="27"/>
      <c r="F36" s="27"/>
      <c r="G36" s="27"/>
      <c r="H36" s="27"/>
      <c r="I36" s="27"/>
    </row>
    <row r="37" spans="1:9" ht="45" customHeight="1" x14ac:dyDescent="0.3">
      <c r="A37" s="25"/>
      <c r="B37" s="26"/>
      <c r="C37" s="27"/>
      <c r="D37" s="27"/>
      <c r="E37" s="27"/>
      <c r="F37" s="27"/>
      <c r="G37" s="27"/>
      <c r="H37" s="27" t="s">
        <v>18</v>
      </c>
      <c r="I37" s="27"/>
    </row>
    <row r="38" spans="1:9" ht="45" customHeight="1" x14ac:dyDescent="0.3">
      <c r="A38" s="25"/>
      <c r="B38" s="26"/>
      <c r="C38" s="27"/>
      <c r="D38" s="27"/>
      <c r="E38" s="27"/>
      <c r="F38" s="27"/>
      <c r="G38" s="27"/>
      <c r="H38" s="27"/>
      <c r="I38" s="27"/>
    </row>
    <row r="39" spans="1:9" ht="45" customHeight="1" x14ac:dyDescent="0.3">
      <c r="A39" s="25"/>
      <c r="B39" s="26"/>
      <c r="C39" s="27"/>
      <c r="D39" s="27"/>
      <c r="E39" s="27"/>
      <c r="F39" s="27"/>
      <c r="G39" s="27"/>
      <c r="H39" s="27"/>
      <c r="I39" s="27"/>
    </row>
    <row r="40" spans="1:9" ht="45" customHeight="1" x14ac:dyDescent="0.3">
      <c r="A40" s="25"/>
      <c r="B40" s="26"/>
      <c r="C40" s="27"/>
      <c r="D40" s="27"/>
      <c r="E40" s="27"/>
      <c r="F40" s="27"/>
      <c r="G40" s="27"/>
      <c r="H40" s="27"/>
      <c r="I40" s="27"/>
    </row>
    <row r="41" spans="1:9" ht="45" customHeight="1" x14ac:dyDescent="0.3">
      <c r="A41" s="25"/>
      <c r="B41" s="26"/>
      <c r="C41" s="27"/>
      <c r="D41" s="27"/>
      <c r="E41" s="27"/>
      <c r="F41" s="27"/>
      <c r="G41" s="27"/>
      <c r="H41" s="27"/>
      <c r="I41" s="27"/>
    </row>
    <row r="42" spans="1:9" ht="45" customHeight="1" x14ac:dyDescent="0.3">
      <c r="A42" s="25"/>
      <c r="B42" s="26"/>
      <c r="C42" s="27"/>
      <c r="D42" s="27"/>
      <c r="E42" s="27"/>
      <c r="F42" s="27"/>
      <c r="G42" s="27"/>
      <c r="H42" s="27"/>
      <c r="I42" s="27"/>
    </row>
    <row r="43" spans="1:9" ht="45" customHeight="1" x14ac:dyDescent="0.3">
      <c r="D43" s="27"/>
      <c r="E43" s="27"/>
      <c r="F43" s="27"/>
      <c r="G43" s="27"/>
      <c r="H43" s="27"/>
      <c r="I43" s="27"/>
    </row>
  </sheetData>
  <mergeCells count="34"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  <mergeCell ref="E10:G11"/>
    <mergeCell ref="H10:H11"/>
    <mergeCell ref="C4:D4"/>
    <mergeCell ref="B34:I34"/>
    <mergeCell ref="E23:G23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A29:I29"/>
    <mergeCell ref="G32:H32"/>
    <mergeCell ref="E32:F32"/>
    <mergeCell ref="C30:C31"/>
    <mergeCell ref="E24:G24"/>
    <mergeCell ref="E25:G25"/>
    <mergeCell ref="E26:G26"/>
    <mergeCell ref="A27:G27"/>
  </mergeCells>
  <phoneticPr fontId="2" type="noConversion"/>
  <pageMargins left="0.70866141732283472" right="0.70866141732283472" top="0.55118110236220474" bottom="0.74803149606299213" header="0.31496062992125984" footer="0.31496062992125984"/>
  <pageSetup paperSize="9" scale="38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I36"/>
  <sheetViews>
    <sheetView view="pageBreakPreview" zoomScale="85" zoomScaleNormal="100" zoomScaleSheetLayoutView="85" workbookViewId="0">
      <selection activeCell="H13" sqref="H13"/>
    </sheetView>
  </sheetViews>
  <sheetFormatPr defaultColWidth="5.5" defaultRowHeight="45" customHeight="1" x14ac:dyDescent="0.3"/>
  <cols>
    <col min="1" max="1" width="6.875" style="28" customWidth="1"/>
    <col min="2" max="2" width="13.625" style="29" customWidth="1"/>
    <col min="3" max="6" width="13.625" style="11" customWidth="1"/>
    <col min="7" max="7" width="18" style="11" bestFit="1" customWidth="1"/>
    <col min="8" max="9" width="13.625" style="11" customWidth="1"/>
    <col min="10" max="13" width="5.5" style="11"/>
    <col min="14" max="14" width="36" style="11" bestFit="1" customWidth="1"/>
    <col min="15" max="15" width="11.5" style="59" customWidth="1"/>
    <col min="16" max="16" width="9.625" style="59" bestFit="1" customWidth="1"/>
    <col min="17" max="16384" width="5.5" style="11"/>
  </cols>
  <sheetData>
    <row r="1" spans="1:35" s="4" customFormat="1" ht="30" customHeight="1" x14ac:dyDescent="0.3">
      <c r="A1" s="195" t="s">
        <v>83</v>
      </c>
      <c r="B1" s="195"/>
      <c r="C1" s="195"/>
      <c r="D1" s="195"/>
      <c r="E1" s="195"/>
      <c r="F1" s="195"/>
      <c r="G1" s="195"/>
      <c r="H1" s="195"/>
      <c r="I1" s="195"/>
      <c r="O1" s="126"/>
      <c r="P1" s="126"/>
    </row>
    <row r="2" spans="1:35" s="4" customFormat="1" ht="30" customHeight="1" x14ac:dyDescent="0.3">
      <c r="A2" s="195"/>
      <c r="B2" s="195"/>
      <c r="C2" s="195"/>
      <c r="D2" s="195"/>
      <c r="E2" s="195"/>
      <c r="F2" s="195"/>
      <c r="G2" s="195"/>
      <c r="H2" s="195"/>
      <c r="I2" s="195"/>
      <c r="O2" s="109" t="s">
        <v>82</v>
      </c>
      <c r="P2" s="126"/>
    </row>
    <row r="3" spans="1:35" s="108" customFormat="1" ht="32.1" customHeight="1" thickBot="1" x14ac:dyDescent="0.35">
      <c r="A3" s="66"/>
      <c r="B3" s="66"/>
      <c r="C3" s="66"/>
      <c r="D3" s="66"/>
      <c r="E3" s="66"/>
      <c r="F3" s="66"/>
      <c r="G3" s="66"/>
      <c r="H3" s="66"/>
      <c r="I3" s="66"/>
      <c r="O3" s="125" t="s">
        <v>77</v>
      </c>
      <c r="P3" s="125" t="s">
        <v>81</v>
      </c>
    </row>
    <row r="4" spans="1:35" s="108" customFormat="1" ht="32.1" customHeight="1" thickBot="1" x14ac:dyDescent="0.35">
      <c r="A4" s="196" t="s">
        <v>80</v>
      </c>
      <c r="B4" s="196"/>
      <c r="C4" s="179">
        <v>45475</v>
      </c>
      <c r="D4" s="179"/>
      <c r="E4" s="124"/>
      <c r="F4" s="123" t="s">
        <v>79</v>
      </c>
      <c r="G4" s="123" t="s">
        <v>78</v>
      </c>
      <c r="H4" s="123" t="s">
        <v>35</v>
      </c>
      <c r="I4" s="122" t="s">
        <v>77</v>
      </c>
      <c r="M4" s="60" t="s">
        <v>76</v>
      </c>
      <c r="N4" s="78" t="s">
        <v>75</v>
      </c>
      <c r="O4" s="79">
        <v>1740</v>
      </c>
      <c r="P4" s="79">
        <v>11.97</v>
      </c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  <c r="AH4" s="109"/>
      <c r="AI4" s="109"/>
    </row>
    <row r="5" spans="1:35" s="60" customFormat="1" ht="32.1" customHeight="1" thickBot="1" x14ac:dyDescent="0.35">
      <c r="A5" s="197" t="s">
        <v>74</v>
      </c>
      <c r="B5" s="197"/>
      <c r="C5" s="198" t="s">
        <v>73</v>
      </c>
      <c r="D5" s="198"/>
      <c r="E5" s="121"/>
      <c r="F5" s="120" t="s">
        <v>72</v>
      </c>
      <c r="G5" s="120" t="s">
        <v>71</v>
      </c>
      <c r="H5" s="119">
        <f>VLOOKUP($G$5,$N$4:$AM$11,3,FALSE)</f>
        <v>8.83</v>
      </c>
      <c r="I5" s="119">
        <f>VLOOKUP($G$5,$N$4:$AM$11,2,FALSE)</f>
        <v>1059</v>
      </c>
      <c r="M5" s="60" t="s">
        <v>70</v>
      </c>
      <c r="N5" s="78" t="s">
        <v>69</v>
      </c>
      <c r="O5" s="79">
        <v>1602</v>
      </c>
      <c r="P5" s="79">
        <v>12.52</v>
      </c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</row>
    <row r="6" spans="1:35" s="60" customFormat="1" ht="32.1" customHeight="1" thickBot="1" x14ac:dyDescent="0.35">
      <c r="A6" s="196" t="s">
        <v>68</v>
      </c>
      <c r="B6" s="196"/>
      <c r="C6" s="198" t="s">
        <v>67</v>
      </c>
      <c r="D6" s="198"/>
      <c r="E6" s="62"/>
      <c r="F6" s="118" t="s">
        <v>66</v>
      </c>
      <c r="H6" s="118" t="s">
        <v>65</v>
      </c>
      <c r="I6" s="116"/>
      <c r="M6" s="60" t="s">
        <v>64</v>
      </c>
      <c r="N6" s="78" t="s">
        <v>63</v>
      </c>
      <c r="O6" s="79">
        <v>1740</v>
      </c>
      <c r="P6" s="79">
        <v>10.61</v>
      </c>
      <c r="Q6" s="115"/>
      <c r="R6" s="78"/>
      <c r="S6" s="78"/>
      <c r="T6" s="78"/>
      <c r="U6" s="78"/>
      <c r="V6" s="78"/>
      <c r="W6" s="78"/>
      <c r="X6" s="78"/>
      <c r="Y6" s="78"/>
      <c r="Z6" s="79"/>
      <c r="AA6" s="79"/>
      <c r="AB6" s="78"/>
      <c r="AC6" s="78"/>
      <c r="AD6" s="78"/>
      <c r="AE6" s="78"/>
      <c r="AF6" s="78"/>
      <c r="AG6" s="78"/>
      <c r="AH6" s="78"/>
      <c r="AI6" s="78"/>
    </row>
    <row r="7" spans="1:35" s="60" customFormat="1" ht="32.1" customHeight="1" x14ac:dyDescent="0.3">
      <c r="A7" s="86"/>
      <c r="B7" s="117"/>
      <c r="C7" s="62"/>
      <c r="D7" s="62"/>
      <c r="E7" s="62"/>
      <c r="F7" s="62"/>
      <c r="G7" s="113"/>
      <c r="H7" s="113"/>
      <c r="I7" s="116"/>
      <c r="N7" s="78" t="s">
        <v>62</v>
      </c>
      <c r="O7" s="79">
        <v>1059</v>
      </c>
      <c r="P7" s="79">
        <v>8.83</v>
      </c>
      <c r="Q7" s="115"/>
      <c r="R7" s="78"/>
      <c r="S7" s="78"/>
      <c r="T7" s="78"/>
      <c r="U7" s="78"/>
      <c r="V7" s="78"/>
      <c r="W7" s="78"/>
      <c r="X7" s="78"/>
      <c r="Y7" s="78"/>
      <c r="Z7" s="79"/>
      <c r="AA7" s="79"/>
      <c r="AB7" s="78"/>
      <c r="AC7" s="78"/>
      <c r="AD7" s="78"/>
      <c r="AE7" s="78"/>
      <c r="AF7" s="78"/>
      <c r="AG7" s="78"/>
      <c r="AH7" s="78"/>
      <c r="AI7" s="78"/>
    </row>
    <row r="8" spans="1:35" s="60" customFormat="1" ht="32.1" customHeight="1" x14ac:dyDescent="0.3">
      <c r="A8" s="86"/>
      <c r="B8" s="117"/>
      <c r="C8" s="62"/>
      <c r="D8" s="62"/>
      <c r="E8" s="62"/>
      <c r="F8" s="62"/>
      <c r="G8" s="113"/>
      <c r="H8" s="113"/>
      <c r="I8" s="116"/>
      <c r="N8" s="78" t="s">
        <v>61</v>
      </c>
      <c r="O8" s="79" t="s">
        <v>60</v>
      </c>
      <c r="P8" s="79">
        <v>94.9</v>
      </c>
      <c r="Q8" s="115"/>
      <c r="R8" s="78"/>
      <c r="S8" s="78"/>
      <c r="T8" s="78"/>
      <c r="U8" s="78"/>
      <c r="V8" s="78"/>
      <c r="W8" s="78"/>
      <c r="X8" s="109"/>
      <c r="Y8" s="78"/>
      <c r="Z8" s="79"/>
      <c r="AA8" s="79"/>
      <c r="AB8" s="78"/>
      <c r="AC8" s="78"/>
      <c r="AD8" s="78"/>
      <c r="AE8" s="78"/>
      <c r="AF8" s="78"/>
      <c r="AG8" s="78"/>
      <c r="AH8" s="78"/>
      <c r="AI8" s="78"/>
    </row>
    <row r="9" spans="1:35" s="60" customFormat="1" ht="32.1" customHeight="1" thickBot="1" x14ac:dyDescent="0.35">
      <c r="A9" s="86"/>
      <c r="B9" s="114" t="s">
        <v>59</v>
      </c>
      <c r="C9" s="62"/>
      <c r="D9" s="62"/>
      <c r="E9" s="62"/>
      <c r="F9" s="114"/>
      <c r="G9" s="113"/>
      <c r="H9" s="112"/>
      <c r="I9" s="112"/>
      <c r="N9" s="78" t="s">
        <v>58</v>
      </c>
      <c r="O9" s="79">
        <v>324.39999999999998</v>
      </c>
      <c r="P9" s="79">
        <v>10.61</v>
      </c>
      <c r="Q9" s="78"/>
      <c r="R9" s="78"/>
      <c r="S9" s="78"/>
      <c r="T9" s="78"/>
      <c r="U9" s="78"/>
      <c r="V9" s="78"/>
      <c r="W9" s="78"/>
      <c r="X9" s="109"/>
      <c r="Y9" s="78"/>
      <c r="Z9" s="79"/>
      <c r="AA9" s="79"/>
      <c r="AB9" s="78"/>
      <c r="AC9" s="78"/>
      <c r="AD9" s="78"/>
      <c r="AE9" s="78"/>
      <c r="AF9" s="78"/>
      <c r="AG9" s="78"/>
      <c r="AH9" s="78"/>
      <c r="AI9" s="78"/>
    </row>
    <row r="10" spans="1:35" s="108" customFormat="1" ht="30" customHeight="1" x14ac:dyDescent="0.3">
      <c r="A10" s="199" t="s">
        <v>57</v>
      </c>
      <c r="B10" s="201" t="s">
        <v>56</v>
      </c>
      <c r="C10" s="203" t="s">
        <v>55</v>
      </c>
      <c r="D10" s="204"/>
      <c r="E10" s="171" t="s">
        <v>54</v>
      </c>
      <c r="F10" s="172"/>
      <c r="G10" s="173"/>
      <c r="H10" s="177" t="s">
        <v>53</v>
      </c>
      <c r="I10" s="193" t="s">
        <v>52</v>
      </c>
      <c r="N10" s="78" t="s">
        <v>51</v>
      </c>
      <c r="O10" s="79">
        <v>347.2</v>
      </c>
      <c r="P10" s="79">
        <v>2.84</v>
      </c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</row>
    <row r="11" spans="1:35" s="108" customFormat="1" ht="30" customHeight="1" thickBot="1" x14ac:dyDescent="0.35">
      <c r="A11" s="200"/>
      <c r="B11" s="202"/>
      <c r="C11" s="111" t="s">
        <v>50</v>
      </c>
      <c r="D11" s="110" t="s">
        <v>49</v>
      </c>
      <c r="E11" s="174"/>
      <c r="F11" s="175"/>
      <c r="G11" s="176"/>
      <c r="H11" s="178"/>
      <c r="I11" s="194"/>
      <c r="N11" s="78" t="s">
        <v>48</v>
      </c>
      <c r="O11" s="79">
        <v>324.39999999999998</v>
      </c>
      <c r="P11" s="79">
        <v>5.22</v>
      </c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</row>
    <row r="12" spans="1:35" s="60" customFormat="1" ht="60" customHeight="1" thickTop="1" x14ac:dyDescent="0.3">
      <c r="A12" s="107">
        <v>1</v>
      </c>
      <c r="B12" s="106" t="s">
        <v>47</v>
      </c>
      <c r="C12" s="105" t="s">
        <v>46</v>
      </c>
      <c r="D12" s="104" t="s">
        <v>45</v>
      </c>
      <c r="E12" s="180" t="s">
        <v>44</v>
      </c>
      <c r="F12" s="181"/>
      <c r="G12" s="181"/>
      <c r="H12" s="99">
        <v>340</v>
      </c>
      <c r="I12" s="103" t="s">
        <v>43</v>
      </c>
      <c r="N12" s="78"/>
      <c r="O12" s="79"/>
      <c r="P12" s="79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</row>
    <row r="13" spans="1:35" s="60" customFormat="1" ht="60" customHeight="1" x14ac:dyDescent="0.3">
      <c r="A13" s="96">
        <v>2</v>
      </c>
      <c r="B13" s="97"/>
      <c r="C13" s="102"/>
      <c r="D13" s="100"/>
      <c r="E13" s="182"/>
      <c r="F13" s="183"/>
      <c r="G13" s="183"/>
      <c r="H13" s="94"/>
      <c r="I13" s="93"/>
      <c r="N13" s="78"/>
      <c r="O13" s="79"/>
      <c r="P13" s="79"/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</row>
    <row r="14" spans="1:35" s="60" customFormat="1" ht="60" customHeight="1" x14ac:dyDescent="0.3">
      <c r="A14" s="96">
        <v>3</v>
      </c>
      <c r="B14" s="97"/>
      <c r="C14" s="101"/>
      <c r="D14" s="100"/>
      <c r="E14" s="184"/>
      <c r="F14" s="185"/>
      <c r="G14" s="186"/>
      <c r="H14" s="99"/>
      <c r="I14" s="98"/>
      <c r="N14" s="78"/>
      <c r="O14" s="79"/>
      <c r="P14" s="79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</row>
    <row r="15" spans="1:35" s="60" customFormat="1" ht="60" customHeight="1" x14ac:dyDescent="0.3">
      <c r="A15" s="96">
        <v>4</v>
      </c>
      <c r="B15" s="97"/>
      <c r="C15" s="94"/>
      <c r="D15" s="93"/>
      <c r="E15" s="187"/>
      <c r="F15" s="188"/>
      <c r="G15" s="189"/>
      <c r="H15" s="94"/>
      <c r="I15" s="93"/>
      <c r="N15" s="78"/>
      <c r="O15" s="79"/>
      <c r="P15" s="79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</row>
    <row r="16" spans="1:35" s="60" customFormat="1" ht="60" customHeight="1" x14ac:dyDescent="0.3">
      <c r="A16" s="96">
        <v>5</v>
      </c>
      <c r="B16" s="95"/>
      <c r="C16" s="94"/>
      <c r="D16" s="93"/>
      <c r="E16" s="187"/>
      <c r="F16" s="188"/>
      <c r="G16" s="189"/>
      <c r="H16" s="94"/>
      <c r="I16" s="93"/>
      <c r="N16" s="78"/>
      <c r="O16" s="79"/>
      <c r="P16" s="79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</row>
    <row r="17" spans="1:35" s="60" customFormat="1" ht="60" customHeight="1" x14ac:dyDescent="0.3">
      <c r="A17" s="96">
        <v>6</v>
      </c>
      <c r="B17" s="95"/>
      <c r="C17" s="94"/>
      <c r="D17" s="93"/>
      <c r="E17" s="187"/>
      <c r="F17" s="188"/>
      <c r="G17" s="189"/>
      <c r="H17" s="94"/>
      <c r="I17" s="93"/>
      <c r="N17" s="78"/>
      <c r="O17" s="79"/>
      <c r="P17" s="79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</row>
    <row r="18" spans="1:35" s="60" customFormat="1" ht="60" customHeight="1" x14ac:dyDescent="0.3">
      <c r="A18" s="96">
        <v>7</v>
      </c>
      <c r="B18" s="95"/>
      <c r="C18" s="94"/>
      <c r="D18" s="93"/>
      <c r="E18" s="187"/>
      <c r="F18" s="188"/>
      <c r="G18" s="189"/>
      <c r="H18" s="94"/>
      <c r="I18" s="93"/>
      <c r="N18" s="78"/>
      <c r="O18" s="79"/>
      <c r="P18" s="79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</row>
    <row r="19" spans="1:35" s="60" customFormat="1" ht="60" customHeight="1" thickBot="1" x14ac:dyDescent="0.35">
      <c r="A19" s="92">
        <v>8</v>
      </c>
      <c r="B19" s="91"/>
      <c r="C19" s="90"/>
      <c r="D19" s="89"/>
      <c r="E19" s="190"/>
      <c r="F19" s="191"/>
      <c r="G19" s="192"/>
      <c r="H19" s="90"/>
      <c r="I19" s="89"/>
      <c r="N19" s="78"/>
      <c r="O19" s="79"/>
      <c r="P19" s="79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</row>
    <row r="20" spans="1:35" s="60" customFormat="1" ht="30" customHeight="1" thickTop="1" thickBot="1" x14ac:dyDescent="0.35">
      <c r="A20" s="168" t="s">
        <v>42</v>
      </c>
      <c r="B20" s="169"/>
      <c r="C20" s="169"/>
      <c r="D20" s="169"/>
      <c r="E20" s="169"/>
      <c r="F20" s="169"/>
      <c r="G20" s="170"/>
      <c r="H20" s="88">
        <f>SUM(H12:H17)</f>
        <v>340</v>
      </c>
      <c r="I20" s="87" t="s">
        <v>41</v>
      </c>
      <c r="N20" s="78"/>
      <c r="O20" s="79"/>
      <c r="P20" s="79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</row>
    <row r="21" spans="1:35" s="60" customFormat="1" ht="32.1" customHeight="1" x14ac:dyDescent="0.3">
      <c r="A21" s="86"/>
      <c r="B21" s="86"/>
      <c r="C21" s="86"/>
      <c r="D21" s="86"/>
      <c r="E21" s="86"/>
      <c r="F21" s="86"/>
      <c r="G21" s="86"/>
      <c r="H21" s="86"/>
      <c r="I21" s="62"/>
      <c r="N21" s="78"/>
      <c r="O21" s="79"/>
      <c r="P21" s="79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</row>
    <row r="22" spans="1:35" s="60" customFormat="1" ht="32.1" customHeight="1" thickBot="1" x14ac:dyDescent="0.35">
      <c r="B22" s="84"/>
      <c r="C22" s="84"/>
      <c r="D22" s="85"/>
      <c r="E22" s="84" t="s">
        <v>40</v>
      </c>
      <c r="G22" s="85"/>
      <c r="H22" s="85"/>
      <c r="I22" s="84"/>
      <c r="J22" s="83"/>
      <c r="N22" s="78"/>
      <c r="O22" s="79"/>
      <c r="P22" s="79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</row>
    <row r="23" spans="1:35" s="60" customFormat="1" ht="32.1" customHeight="1" x14ac:dyDescent="0.3">
      <c r="A23" s="69"/>
      <c r="B23" s="68"/>
      <c r="C23" s="68"/>
      <c r="D23" s="166" t="s">
        <v>39</v>
      </c>
      <c r="E23" s="81" t="s">
        <v>38</v>
      </c>
      <c r="F23" s="81" t="s">
        <v>37</v>
      </c>
      <c r="G23" s="82" t="s">
        <v>36</v>
      </c>
      <c r="H23" s="81" t="s">
        <v>35</v>
      </c>
      <c r="I23" s="80" t="s">
        <v>34</v>
      </c>
      <c r="N23" s="78"/>
      <c r="O23" s="79"/>
      <c r="P23" s="79"/>
      <c r="Q23" s="78"/>
      <c r="R23" s="78"/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</row>
    <row r="24" spans="1:35" s="60" customFormat="1" ht="32.1" customHeight="1" thickBot="1" x14ac:dyDescent="0.35">
      <c r="A24" s="69"/>
      <c r="B24" s="68"/>
      <c r="D24" s="167"/>
      <c r="E24" s="77" t="str">
        <f>G5</f>
        <v>LPG</v>
      </c>
      <c r="F24" s="76">
        <f>H20</f>
        <v>340</v>
      </c>
      <c r="G24" s="76">
        <f ca="1">SUMIF($G$3:$I$5,E24,$I$3:$I$5)</f>
        <v>1059</v>
      </c>
      <c r="H24" s="75">
        <f ca="1">SUMIF($G$3:$I$5,E24,$H$3:$H$5)</f>
        <v>8.83</v>
      </c>
      <c r="I24" s="74">
        <f ca="1">ROUND(F24*G24/H24,0)</f>
        <v>40777</v>
      </c>
      <c r="O24" s="61"/>
      <c r="P24" s="61"/>
    </row>
    <row r="25" spans="1:35" s="60" customFormat="1" ht="32.1" customHeight="1" x14ac:dyDescent="0.3">
      <c r="A25" s="69"/>
      <c r="B25" s="68"/>
      <c r="C25" s="68"/>
      <c r="D25" s="73" t="s">
        <v>33</v>
      </c>
      <c r="F25" s="72" t="s">
        <v>32</v>
      </c>
      <c r="G25" s="71" t="str">
        <f ca="1">DOLLAR(I24)&amp;"원"</f>
        <v>₩40,777원</v>
      </c>
      <c r="H25" s="70"/>
      <c r="I25" s="64"/>
      <c r="O25" s="61"/>
      <c r="P25" s="61"/>
    </row>
    <row r="26" spans="1:35" s="60" customFormat="1" ht="32.1" customHeight="1" x14ac:dyDescent="0.3">
      <c r="A26" s="69"/>
      <c r="B26" s="68"/>
      <c r="C26" s="68"/>
      <c r="D26" s="67"/>
      <c r="E26" s="66"/>
      <c r="F26" s="66"/>
      <c r="G26" s="66"/>
      <c r="H26" s="66"/>
      <c r="I26" s="64"/>
      <c r="O26" s="61"/>
      <c r="P26" s="61"/>
    </row>
    <row r="27" spans="1:35" s="60" customFormat="1" ht="32.1" customHeight="1" x14ac:dyDescent="0.3">
      <c r="A27" s="64"/>
      <c r="C27" s="65"/>
      <c r="D27" s="65"/>
      <c r="E27" s="65"/>
      <c r="F27" s="65"/>
      <c r="G27" s="65"/>
      <c r="H27" s="65"/>
      <c r="I27" s="65"/>
      <c r="O27" s="61"/>
      <c r="P27" s="61"/>
    </row>
    <row r="28" spans="1:35" s="60" customFormat="1" ht="32.1" customHeight="1" x14ac:dyDescent="0.3">
      <c r="A28" s="64"/>
      <c r="B28" s="63"/>
      <c r="C28" s="62"/>
      <c r="D28" s="62"/>
      <c r="E28" s="62"/>
      <c r="F28" s="62"/>
      <c r="G28" s="62"/>
      <c r="H28" s="62"/>
      <c r="I28" s="62"/>
      <c r="O28" s="61"/>
      <c r="P28" s="61"/>
    </row>
    <row r="29" spans="1:35" ht="45" customHeight="1" x14ac:dyDescent="0.3">
      <c r="A29" s="25"/>
      <c r="B29" s="26"/>
      <c r="C29" s="27"/>
      <c r="D29" s="27"/>
      <c r="E29" s="27"/>
      <c r="F29" s="27"/>
      <c r="G29" s="27"/>
      <c r="H29" s="27"/>
      <c r="I29" s="27"/>
    </row>
    <row r="30" spans="1:35" ht="45" customHeight="1" x14ac:dyDescent="0.3">
      <c r="A30" s="25"/>
      <c r="B30" s="26"/>
      <c r="C30" s="27"/>
      <c r="D30" s="27"/>
      <c r="E30" s="27"/>
      <c r="F30" s="27"/>
      <c r="G30" s="27"/>
      <c r="H30" s="27" t="s">
        <v>31</v>
      </c>
      <c r="I30" s="27"/>
    </row>
    <row r="31" spans="1:35" ht="45" customHeight="1" x14ac:dyDescent="0.3">
      <c r="A31" s="25"/>
      <c r="B31" s="26"/>
      <c r="C31" s="27"/>
      <c r="D31" s="27"/>
      <c r="E31" s="27"/>
      <c r="F31" s="27"/>
      <c r="G31" s="27"/>
      <c r="H31" s="27"/>
      <c r="I31" s="27"/>
    </row>
    <row r="32" spans="1:35" ht="45" customHeight="1" x14ac:dyDescent="0.3">
      <c r="A32" s="25"/>
      <c r="B32" s="26"/>
      <c r="C32" s="27"/>
      <c r="D32" s="27"/>
      <c r="E32" s="27"/>
      <c r="F32" s="27"/>
      <c r="G32" s="27"/>
      <c r="H32" s="27"/>
      <c r="I32" s="27"/>
    </row>
    <row r="33" spans="1:9" ht="45" customHeight="1" x14ac:dyDescent="0.3">
      <c r="A33" s="25"/>
      <c r="B33" s="26"/>
      <c r="C33" s="27"/>
      <c r="D33" s="27"/>
      <c r="E33" s="27"/>
      <c r="F33" s="27"/>
      <c r="G33" s="27"/>
      <c r="H33" s="27"/>
      <c r="I33" s="27"/>
    </row>
    <row r="34" spans="1:9" ht="45" customHeight="1" x14ac:dyDescent="0.3">
      <c r="A34" s="25"/>
      <c r="B34" s="26"/>
      <c r="C34" s="27"/>
      <c r="D34" s="27"/>
      <c r="E34" s="27"/>
      <c r="F34" s="27"/>
      <c r="G34" s="27"/>
      <c r="H34" s="27"/>
      <c r="I34" s="27"/>
    </row>
    <row r="35" spans="1:9" ht="45" customHeight="1" x14ac:dyDescent="0.3">
      <c r="A35" s="25"/>
      <c r="B35" s="26"/>
      <c r="C35" s="27"/>
      <c r="D35" s="27"/>
      <c r="E35" s="27"/>
      <c r="F35" s="27"/>
      <c r="G35" s="27"/>
      <c r="H35" s="27"/>
      <c r="I35" s="27"/>
    </row>
    <row r="36" spans="1:9" ht="45" customHeight="1" x14ac:dyDescent="0.3">
      <c r="D36" s="27"/>
      <c r="E36" s="27"/>
      <c r="F36" s="27"/>
      <c r="G36" s="27"/>
      <c r="H36" s="27"/>
      <c r="I36" s="27"/>
    </row>
  </sheetData>
  <mergeCells count="23">
    <mergeCell ref="I10:I11"/>
    <mergeCell ref="A1:I2"/>
    <mergeCell ref="A4:B4"/>
    <mergeCell ref="A5:B5"/>
    <mergeCell ref="C5:D5"/>
    <mergeCell ref="A6:B6"/>
    <mergeCell ref="C6:D6"/>
    <mergeCell ref="A10:A11"/>
    <mergeCell ref="B10:B11"/>
    <mergeCell ref="C10:D10"/>
    <mergeCell ref="D23:D24"/>
    <mergeCell ref="A20:G20"/>
    <mergeCell ref="E10:G11"/>
    <mergeCell ref="H10:H11"/>
    <mergeCell ref="C4:D4"/>
    <mergeCell ref="E12:G12"/>
    <mergeCell ref="E13:G13"/>
    <mergeCell ref="E14:G14"/>
    <mergeCell ref="E15:G15"/>
    <mergeCell ref="E16:G16"/>
    <mergeCell ref="E17:G17"/>
    <mergeCell ref="E18:G18"/>
    <mergeCell ref="E19:G19"/>
  </mergeCells>
  <phoneticPr fontId="2" type="noConversion"/>
  <dataValidations count="2">
    <dataValidation type="list" allowBlank="1" showInputMessage="1" showErrorMessage="1" sqref="G5">
      <formula1>INDIRECT(F5)</formula1>
    </dataValidation>
    <dataValidation type="list" allowBlank="1" showInputMessage="1" showErrorMessage="1" sqref="F5">
      <formula1>구분</formula1>
    </dataValidation>
  </dataValidations>
  <pageMargins left="0.70866141732283472" right="0.70866141732283472" top="0.55118110236220474" bottom="0.74803149606299213" header="0.31496062992125984" footer="0.31496062992125984"/>
  <pageSetup paperSize="9" scale="6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7</vt:i4>
      </vt:variant>
    </vt:vector>
  </HeadingPairs>
  <TitlesOfParts>
    <vt:vector size="9" baseType="lpstr">
      <vt:lpstr>유류대정산서</vt:lpstr>
      <vt:lpstr>유류대정산서(중소환경사업화)</vt:lpstr>
      <vt:lpstr>유류대정산서!Print_Area</vt:lpstr>
      <vt:lpstr>'유류대정산서(중소환경사업화)'!Print_Area</vt:lpstr>
      <vt:lpstr>가스</vt:lpstr>
      <vt:lpstr>구분</vt:lpstr>
      <vt:lpstr>기름</vt:lpstr>
      <vt:lpstr>전기</vt:lpstr>
      <vt:lpstr>하이브리드Oil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USOL_Management_2</dc:creator>
  <cp:lastModifiedBy>skhwang@usolkorea.com</cp:lastModifiedBy>
  <cp:lastPrinted>2025-06-20T05:23:58Z</cp:lastPrinted>
  <dcterms:created xsi:type="dcterms:W3CDTF">2020-11-03T10:26:44Z</dcterms:created>
  <dcterms:modified xsi:type="dcterms:W3CDTF">2025-12-19T07:03:33Z</dcterms:modified>
</cp:coreProperties>
</file>